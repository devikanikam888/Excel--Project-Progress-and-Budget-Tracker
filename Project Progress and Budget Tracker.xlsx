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ka\Desktop\Projects\"/>
    </mc:Choice>
  </mc:AlternateContent>
  <xr:revisionPtr revIDLastSave="0" documentId="13_ncr:1_{09567A57-4A78-4DF3-A94C-40053F76C299}" xr6:coauthVersionLast="47" xr6:coauthVersionMax="47" xr10:uidLastSave="{00000000-0000-0000-0000-000000000000}"/>
  <bookViews>
    <workbookView xWindow="-98" yWindow="-98" windowWidth="23236" windowHeight="13875" firstSheet="2" activeTab="5" xr2:uid="{38847744-019C-42B2-9E61-579A16903706}"/>
  </bookViews>
  <sheets>
    <sheet name="Project overview" sheetId="1" r:id="rId1"/>
    <sheet name="Task List &amp; Gantt Chart" sheetId="2" r:id="rId2"/>
    <sheet name="Task Assignment &amp; Progress Trac" sheetId="4" r:id="rId3"/>
    <sheet name="Resource List" sheetId="3" r:id="rId4"/>
    <sheet name="Risks" sheetId="6" r:id="rId5"/>
    <sheet name="Dashboard" sheetId="8" r:id="rId6"/>
    <sheet name="Support Shee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H3" i="9"/>
  <c r="H4" i="9"/>
  <c r="H2" i="9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24" i="2"/>
  <c r="H5" i="9" l="1"/>
  <c r="H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tc={F90DC156-C6EC-4711-B3CB-E224DA531781}</author>
  </authors>
  <commentList>
    <comment ref="G1" authorId="0" shapeId="0" xr:uid="{F90DC156-C6EC-4711-B3CB-E224DA5317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understand If the action is an action or an Issue </t>
      </text>
    </comment>
  </commentList>
</comments>
</file>

<file path=xl/sharedStrings.xml><?xml version="1.0" encoding="utf-8"?>
<sst xmlns="http://schemas.openxmlformats.org/spreadsheetml/2006/main" count="472" uniqueCount="189">
  <si>
    <t>Field</t>
  </si>
  <si>
    <t>Value</t>
  </si>
  <si>
    <t>Project Name</t>
  </si>
  <si>
    <t>Website Development Project</t>
  </si>
  <si>
    <t>Project Manager</t>
  </si>
  <si>
    <t>Devika Sharma</t>
  </si>
  <si>
    <t>Client Name</t>
  </si>
  <si>
    <t>ABC Retail Pvt Ltd</t>
  </si>
  <si>
    <t>Project Start Date</t>
  </si>
  <si>
    <t>Project End Date</t>
  </si>
  <si>
    <t>Total Budget (£)</t>
  </si>
  <si>
    <t>Project Status</t>
  </si>
  <si>
    <t>In Progress</t>
  </si>
  <si>
    <t>Project Description</t>
  </si>
  <si>
    <t>Development of a responsive business website including design, development, testing, and deployment</t>
  </si>
  <si>
    <t>Last Updated On</t>
  </si>
  <si>
    <t>Task ID</t>
  </si>
  <si>
    <t>Task Name</t>
  </si>
  <si>
    <t>Task Description</t>
  </si>
  <si>
    <t>Phase</t>
  </si>
  <si>
    <t>Start Date</t>
  </si>
  <si>
    <t>End Date</t>
  </si>
  <si>
    <t>Status</t>
  </si>
  <si>
    <t>T001</t>
  </si>
  <si>
    <t>Requirement Gathering</t>
  </si>
  <si>
    <t>Collect client requirements and expectations</t>
  </si>
  <si>
    <t>Planning</t>
  </si>
  <si>
    <t>Completed</t>
  </si>
  <si>
    <t>T002</t>
  </si>
  <si>
    <t>Project Planning</t>
  </si>
  <si>
    <t>Create project plan and timeline</t>
  </si>
  <si>
    <t>T003</t>
  </si>
  <si>
    <t>UI/UX Design</t>
  </si>
  <si>
    <t>Design wireframes and visual layouts</t>
  </si>
  <si>
    <t>Execution</t>
  </si>
  <si>
    <t>T004</t>
  </si>
  <si>
    <t>Frontend Development</t>
  </si>
  <si>
    <t>Develop website frontend using HTML/CSS</t>
  </si>
  <si>
    <t>T005</t>
  </si>
  <si>
    <t>Backend Development</t>
  </si>
  <si>
    <t>Develop backend and database</t>
  </si>
  <si>
    <t>T006</t>
  </si>
  <si>
    <t>Testing</t>
  </si>
  <si>
    <t>Perform functional and usability testing</t>
  </si>
  <si>
    <t>Not Started</t>
  </si>
  <si>
    <t>T007</t>
  </si>
  <si>
    <t>Deployment</t>
  </si>
  <si>
    <t>Deploy website to live server</t>
  </si>
  <si>
    <t>Resource ID</t>
  </si>
  <si>
    <t>Resource Name</t>
  </si>
  <si>
    <t>Role</t>
  </si>
  <si>
    <t>Department</t>
  </si>
  <si>
    <t>Availability</t>
  </si>
  <si>
    <t>R001</t>
  </si>
  <si>
    <t>Aman Verma</t>
  </si>
  <si>
    <t>Management</t>
  </si>
  <si>
    <t>Full-time</t>
  </si>
  <si>
    <t>R002</t>
  </si>
  <si>
    <t>Neha Singh</t>
  </si>
  <si>
    <t>UI/UX Designer</t>
  </si>
  <si>
    <t>Design</t>
  </si>
  <si>
    <t>R003</t>
  </si>
  <si>
    <t>Rahul Mehta</t>
  </si>
  <si>
    <t>Frontend Developer</t>
  </si>
  <si>
    <t>Development</t>
  </si>
  <si>
    <t>R004</t>
  </si>
  <si>
    <t>Pooja Iyer</t>
  </si>
  <si>
    <t>Backend Developer</t>
  </si>
  <si>
    <t>R005</t>
  </si>
  <si>
    <t>Karan Patel</t>
  </si>
  <si>
    <t>QA Tester</t>
  </si>
  <si>
    <t>Part-time</t>
  </si>
  <si>
    <t>Assigned Resource</t>
  </si>
  <si>
    <t>Assigned Date</t>
  </si>
  <si>
    <t>Week</t>
  </si>
  <si>
    <t>% Completion</t>
  </si>
  <si>
    <t>Remarks</t>
  </si>
  <si>
    <t>Week 1</t>
  </si>
  <si>
    <t>Completed on time</t>
  </si>
  <si>
    <t>Week 2</t>
  </si>
  <si>
    <t>Approved by client</t>
  </si>
  <si>
    <t>Week 4</t>
  </si>
  <si>
    <t>Minor revisions done</t>
  </si>
  <si>
    <t>Week 6</t>
  </si>
  <si>
    <t>Homepage completed</t>
  </si>
  <si>
    <t>Database structure ready</t>
  </si>
  <si>
    <t>Week 8</t>
  </si>
  <si>
    <t>Not started yet</t>
  </si>
  <si>
    <t>Week 10</t>
  </si>
  <si>
    <t>Scheduled for March</t>
  </si>
  <si>
    <t>Planned Cost (£)</t>
  </si>
  <si>
    <t>Actual Cost (£)</t>
  </si>
  <si>
    <t>Payment Status</t>
  </si>
  <si>
    <t>Paid</t>
  </si>
  <si>
    <t>Pending</t>
  </si>
  <si>
    <t>Close</t>
  </si>
  <si>
    <t>T008</t>
  </si>
  <si>
    <t>Content Creation</t>
  </si>
  <si>
    <t>Create website content for all pages</t>
  </si>
  <si>
    <t>T009</t>
  </si>
  <si>
    <t>Image &amp; Media Collection</t>
  </si>
  <si>
    <t>Collect and optimize images and media</t>
  </si>
  <si>
    <t>T010</t>
  </si>
  <si>
    <t>SEO Setup</t>
  </si>
  <si>
    <t>Configure basic SEO settings</t>
  </si>
  <si>
    <t>T011</t>
  </si>
  <si>
    <t>Performance Optimization</t>
  </si>
  <si>
    <t>Optimize website loading speed</t>
  </si>
  <si>
    <t>T012</t>
  </si>
  <si>
    <t>Cross-Browser Testing</t>
  </si>
  <si>
    <t>Test website on different browsers</t>
  </si>
  <si>
    <t>T013</t>
  </si>
  <si>
    <t>User Acceptance Testing</t>
  </si>
  <si>
    <t>Client reviews and approves website</t>
  </si>
  <si>
    <t>T014</t>
  </si>
  <si>
    <t>Bug Fixing</t>
  </si>
  <si>
    <t>Fix bugs identified during testing</t>
  </si>
  <si>
    <t>T015</t>
  </si>
  <si>
    <t>Security Check</t>
  </si>
  <si>
    <t>Perform basic security checks</t>
  </si>
  <si>
    <t>T016</t>
  </si>
  <si>
    <t>Final Deployment Preparation</t>
  </si>
  <si>
    <t>Prepare final deployment checklist</t>
  </si>
  <si>
    <t>T017</t>
  </si>
  <si>
    <t>Project Handover</t>
  </si>
  <si>
    <t>Handover project documents to client</t>
  </si>
  <si>
    <t>Not started</t>
  </si>
  <si>
    <t>Comments</t>
  </si>
  <si>
    <t>Action/Issue</t>
  </si>
  <si>
    <t>Action</t>
  </si>
  <si>
    <t>Issue</t>
  </si>
  <si>
    <t>Decision</t>
  </si>
  <si>
    <t>Dependency</t>
  </si>
  <si>
    <t>Raj</t>
  </si>
  <si>
    <t>Simran</t>
  </si>
  <si>
    <t>Sumeet U</t>
  </si>
  <si>
    <t>Manali K</t>
  </si>
  <si>
    <t>Atharva N</t>
  </si>
  <si>
    <t>Devika N</t>
  </si>
  <si>
    <t>Mandaar Rao</t>
  </si>
  <si>
    <t>Dilp Joshi</t>
  </si>
  <si>
    <t>Week 7</t>
  </si>
  <si>
    <t>Week 9</t>
  </si>
  <si>
    <t>Week 11</t>
  </si>
  <si>
    <t>Week 13</t>
  </si>
  <si>
    <t>Week 14</t>
  </si>
  <si>
    <t>Week 15</t>
  </si>
  <si>
    <t>Week 16</t>
  </si>
  <si>
    <t>Waiting for ugc</t>
  </si>
  <si>
    <t>Images completed, Videos remaining</t>
  </si>
  <si>
    <t xml:space="preserve">Sr no </t>
  </si>
  <si>
    <t>Risk</t>
  </si>
  <si>
    <t>Description</t>
  </si>
  <si>
    <t>Severity</t>
  </si>
  <si>
    <t xml:space="preserve">Probability </t>
  </si>
  <si>
    <t>Mitigation</t>
  </si>
  <si>
    <t>Client feedback may require major changes at a late stage</t>
  </si>
  <si>
    <t>High</t>
  </si>
  <si>
    <t>Medium</t>
  </si>
  <si>
    <t>Conduct early review sessions with client and get sign-off at each milestone</t>
  </si>
  <si>
    <t>Critical bugs may take longer than planned to resolve</t>
  </si>
  <si>
    <t>Prioritize bugs based on impact and allocate additional testing time</t>
  </si>
  <si>
    <t>Low</t>
  </si>
  <si>
    <t>Gantt Chart</t>
  </si>
  <si>
    <t>January</t>
  </si>
  <si>
    <t>Feburary</t>
  </si>
  <si>
    <t>March</t>
  </si>
  <si>
    <t>Days</t>
  </si>
  <si>
    <t>Progress</t>
  </si>
  <si>
    <t>Progress made</t>
  </si>
  <si>
    <t>Cost Tracking</t>
  </si>
  <si>
    <t>Team</t>
  </si>
  <si>
    <t>Business Analysis</t>
  </si>
  <si>
    <t>Project Management</t>
  </si>
  <si>
    <t>Quality Assurance</t>
  </si>
  <si>
    <t>DevOps</t>
  </si>
  <si>
    <t>Content &amp; Marketing</t>
  </si>
  <si>
    <t>Creative</t>
  </si>
  <si>
    <t>Digital Marketing</t>
  </si>
  <si>
    <t>Engineering</t>
  </si>
  <si>
    <t>Client / Stakeholder</t>
  </si>
  <si>
    <t>Security</t>
  </si>
  <si>
    <t>Operations</t>
  </si>
  <si>
    <t>Task Duration</t>
  </si>
  <si>
    <t>Overdue</t>
  </si>
  <si>
    <t>Total</t>
  </si>
  <si>
    <t>Count</t>
  </si>
  <si>
    <t>Owners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</si>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</sst>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Days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AB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5" fontId="0" fillId="3" borderId="0" xfId="0" applyNumberFormat="1" applyFill="1" applyAlignment="1">
      <alignment horizontal="left" vertical="center"/>
    </xf>
    <xf numFmtId="3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/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5" fontId="1" fillId="4" borderId="1" xfId="0" applyNumberFormat="1" applyFont="1" applyFill="1" applyBorder="1" applyAlignment="1">
      <alignment horizontal="center" vertical="center"/>
    </xf>
    <xf numFmtId="15" fontId="1" fillId="4" borderId="1" xfId="0" applyNumberFormat="1" applyFont="1" applyFill="1" applyBorder="1" applyAlignment="1">
      <alignment horizontal="center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5" fillId="0" borderId="2" xfId="0" applyFont="1" applyBorder="1"/>
    <xf numFmtId="0" fontId="5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73"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rgb="FFFFEBAB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DBADDC"/>
        </patternFill>
      </fill>
    </dxf>
    <dxf>
      <fill>
        <patternFill>
          <bgColor theme="5" tint="0.39994506668294322"/>
        </patternFill>
      </fill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#&quot; Days&quot;"/>
      <alignment horizontal="center" vertical="bottom" textRotation="0" wrapText="0" indent="0" justifyLastLine="0" shrinkToFit="0" readingOrder="0"/>
    </dxf>
    <dxf>
      <numFmt numFmtId="20" formatCode="dd\-mmm\-yy"/>
      <alignment horizontal="center" vertical="bottom" textRotation="0" wrapText="0" indent="0" justifyLastLine="0" shrinkToFit="0" readingOrder="0"/>
    </dxf>
    <dxf>
      <numFmt numFmtId="20" formatCode="dd\-mmm\-yy"/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AB"/>
      <color rgb="FFFFF2C9"/>
      <color rgb="FFFFFF66"/>
      <color rgb="FFFF5050"/>
      <color rgb="FFFF0000"/>
      <color rgb="FFDBADDC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'Resource List'!$C$10</c:f>
              <c:strCache>
                <c:ptCount val="1"/>
                <c:pt idx="0">
                  <c:v>Planned Cost (£)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'Resource List'!$A$11:$B$17</c:f>
              <c:multiLvlStrCache>
                <c:ptCount val="7"/>
                <c:lvl>
                  <c:pt idx="0">
                    <c:v>Requirement Gathering</c:v>
                  </c:pt>
                  <c:pt idx="1">
                    <c:v>Project Planning</c:v>
                  </c:pt>
                  <c:pt idx="2">
                    <c:v>UI/UX Design</c:v>
                  </c:pt>
                  <c:pt idx="3">
                    <c:v>Frontend Development</c:v>
                  </c:pt>
                  <c:pt idx="4">
                    <c:v>Backend Development</c:v>
                  </c:pt>
                  <c:pt idx="5">
                    <c:v>Testing</c:v>
                  </c:pt>
                  <c:pt idx="6">
                    <c:v>Deployment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</c:lvl>
              </c:multiLvlStrCache>
            </c:multiLvlStrRef>
          </c:cat>
          <c:val>
            <c:numRef>
              <c:f>'Resource List'!$C$11:$C$17</c:f>
              <c:numCache>
                <c:formatCode>#,##0</c:formatCode>
                <c:ptCount val="7"/>
                <c:pt idx="0">
                  <c:v>2000</c:v>
                </c:pt>
                <c:pt idx="1">
                  <c:v>1500</c:v>
                </c:pt>
                <c:pt idx="2">
                  <c:v>4000</c:v>
                </c:pt>
                <c:pt idx="3">
                  <c:v>6000</c:v>
                </c:pt>
                <c:pt idx="4">
                  <c:v>7000</c:v>
                </c:pt>
                <c:pt idx="5">
                  <c:v>2500</c:v>
                </c:pt>
                <c:pt idx="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E-4859-BD1F-A2A0AEB040DB}"/>
            </c:ext>
          </c:extLst>
        </c:ser>
        <c:ser>
          <c:idx val="1"/>
          <c:order val="1"/>
          <c:tx>
            <c:strRef>
              <c:f>'Resource List'!$D$10</c:f>
              <c:strCache>
                <c:ptCount val="1"/>
                <c:pt idx="0">
                  <c:v>Actual Cost (£)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'Resource List'!$A$11:$B$17</c:f>
              <c:multiLvlStrCache>
                <c:ptCount val="7"/>
                <c:lvl>
                  <c:pt idx="0">
                    <c:v>Requirement Gathering</c:v>
                  </c:pt>
                  <c:pt idx="1">
                    <c:v>Project Planning</c:v>
                  </c:pt>
                  <c:pt idx="2">
                    <c:v>UI/UX Design</c:v>
                  </c:pt>
                  <c:pt idx="3">
                    <c:v>Frontend Development</c:v>
                  </c:pt>
                  <c:pt idx="4">
                    <c:v>Backend Development</c:v>
                  </c:pt>
                  <c:pt idx="5">
                    <c:v>Testing</c:v>
                  </c:pt>
                  <c:pt idx="6">
                    <c:v>Deployment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</c:lvl>
              </c:multiLvlStrCache>
            </c:multiLvlStrRef>
          </c:cat>
          <c:val>
            <c:numRef>
              <c:f>'Resource List'!$D$11:$D$17</c:f>
              <c:numCache>
                <c:formatCode>#,##0</c:formatCode>
                <c:ptCount val="7"/>
                <c:pt idx="0">
                  <c:v>1800</c:v>
                </c:pt>
                <c:pt idx="1">
                  <c:v>1500</c:v>
                </c:pt>
                <c:pt idx="2">
                  <c:v>4200</c:v>
                </c:pt>
                <c:pt idx="3">
                  <c:v>5500</c:v>
                </c:pt>
                <c:pt idx="4">
                  <c:v>6800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E-4859-BD1F-A2A0AEB040DB}"/>
            </c:ext>
          </c:extLst>
        </c:ser>
        <c:ser>
          <c:idx val="2"/>
          <c:order val="2"/>
          <c:tx>
            <c:strRef>
              <c:f>'Resource List'!$E$10</c:f>
              <c:strCache>
                <c:ptCount val="1"/>
                <c:pt idx="0">
                  <c:v>Payment Status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'Resource List'!$A$11:$B$17</c:f>
              <c:multiLvlStrCache>
                <c:ptCount val="7"/>
                <c:lvl>
                  <c:pt idx="0">
                    <c:v>Requirement Gathering</c:v>
                  </c:pt>
                  <c:pt idx="1">
                    <c:v>Project Planning</c:v>
                  </c:pt>
                  <c:pt idx="2">
                    <c:v>UI/UX Design</c:v>
                  </c:pt>
                  <c:pt idx="3">
                    <c:v>Frontend Development</c:v>
                  </c:pt>
                  <c:pt idx="4">
                    <c:v>Backend Development</c:v>
                  </c:pt>
                  <c:pt idx="5">
                    <c:v>Testing</c:v>
                  </c:pt>
                  <c:pt idx="6">
                    <c:v>Deployment</c:v>
                  </c:pt>
                </c:lvl>
                <c:lvl>
                  <c:pt idx="0">
                    <c:v>T001</c:v>
                  </c:pt>
                  <c:pt idx="1">
                    <c:v>T002</c:v>
                  </c:pt>
                  <c:pt idx="2">
                    <c:v>T003</c:v>
                  </c:pt>
                  <c:pt idx="3">
                    <c:v>T004</c:v>
                  </c:pt>
                  <c:pt idx="4">
                    <c:v>T005</c:v>
                  </c:pt>
                  <c:pt idx="5">
                    <c:v>T006</c:v>
                  </c:pt>
                  <c:pt idx="6">
                    <c:v>T007</c:v>
                  </c:pt>
                </c:lvl>
              </c:multiLvlStrCache>
            </c:multiLvlStrRef>
          </c:cat>
          <c:val>
            <c:numRef>
              <c:f>'Resource List'!$E$11:$E$17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E-4859-BD1F-A2A0AEB04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7081056"/>
        <c:axId val="1027079136"/>
      </c:barChart>
      <c:catAx>
        <c:axId val="102708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79136"/>
        <c:crosses val="autoZero"/>
        <c:auto val="1"/>
        <c:lblAlgn val="ctr"/>
        <c:lblOffset val="100"/>
        <c:noMultiLvlLbl val="0"/>
      </c:catAx>
      <c:valAx>
        <c:axId val="102707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08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26281059641077"/>
          <c:y val="2.4904307339794918E-2"/>
          <c:w val="0.79045528938305687"/>
          <c:h val="0.958950121177961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Sheet'!$A$2:$A$15</c:f>
              <c:strCache>
                <c:ptCount val="14"/>
                <c:pt idx="1">
                  <c:v>Aman Verma</c:v>
                </c:pt>
                <c:pt idx="2">
                  <c:v>Neha Singh</c:v>
                </c:pt>
                <c:pt idx="3">
                  <c:v>Rahul Mehta</c:v>
                </c:pt>
                <c:pt idx="4">
                  <c:v>Pooja Iyer</c:v>
                </c:pt>
                <c:pt idx="5">
                  <c:v>Karan Patel</c:v>
                </c:pt>
                <c:pt idx="6">
                  <c:v>Raj</c:v>
                </c:pt>
                <c:pt idx="7">
                  <c:v>Simran</c:v>
                </c:pt>
                <c:pt idx="8">
                  <c:v>Sumeet U</c:v>
                </c:pt>
                <c:pt idx="9">
                  <c:v>Manali K</c:v>
                </c:pt>
                <c:pt idx="10">
                  <c:v>Atharva N</c:v>
                </c:pt>
                <c:pt idx="11">
                  <c:v>Devika N</c:v>
                </c:pt>
                <c:pt idx="12">
                  <c:v>Mandaar Rao</c:v>
                </c:pt>
                <c:pt idx="13">
                  <c:v>Dilp Joshi</c:v>
                </c:pt>
              </c:strCache>
            </c:strRef>
          </c:cat>
          <c:val>
            <c:numRef>
              <c:f>'Support Sheet'!$B$2:$B$15</c:f>
              <c:numCache>
                <c:formatCode>General</c:formatCode>
                <c:ptCount val="14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2-4B5F-94FC-04C96DAFE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1169808160"/>
        <c:axId val="1169810560"/>
      </c:barChart>
      <c:catAx>
        <c:axId val="116980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10560"/>
        <c:crosses val="autoZero"/>
        <c:auto val="1"/>
        <c:lblAlgn val="ctr"/>
        <c:lblOffset val="100"/>
        <c:noMultiLvlLbl val="0"/>
      </c:catAx>
      <c:valAx>
        <c:axId val="1169810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980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658057629347096"/>
          <c:y val="7.8672723443468651E-2"/>
          <c:w val="0.69341942370652898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Sheet'!$D$2:$D$16</c:f>
              <c:strCache>
                <c:ptCount val="15"/>
                <c:pt idx="1">
                  <c:v>Business Analysis</c:v>
                </c:pt>
                <c:pt idx="2">
                  <c:v>Project Management</c:v>
                </c:pt>
                <c:pt idx="3">
                  <c:v>Design</c:v>
                </c:pt>
                <c:pt idx="4">
                  <c:v>Frontend Development</c:v>
                </c:pt>
                <c:pt idx="5">
                  <c:v>Backend Development</c:v>
                </c:pt>
                <c:pt idx="6">
                  <c:v>Quality Assurance</c:v>
                </c:pt>
                <c:pt idx="7">
                  <c:v>DevOps</c:v>
                </c:pt>
                <c:pt idx="8">
                  <c:v>Content &amp; Marketing</c:v>
                </c:pt>
                <c:pt idx="9">
                  <c:v>Creative</c:v>
                </c:pt>
                <c:pt idx="10">
                  <c:v>Digital Marketing</c:v>
                </c:pt>
                <c:pt idx="11">
                  <c:v>Engineering</c:v>
                </c:pt>
                <c:pt idx="12">
                  <c:v>Client / Stakeholder</c:v>
                </c:pt>
                <c:pt idx="13">
                  <c:v>Security</c:v>
                </c:pt>
                <c:pt idx="14">
                  <c:v>Operations</c:v>
                </c:pt>
              </c:strCache>
            </c:strRef>
          </c:cat>
          <c:val>
            <c:numRef>
              <c:f>'Support Sheet'!$E$2:$E$16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7-4B8F-A217-78425F896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3"/>
        <c:axId val="1341993232"/>
        <c:axId val="1341994672"/>
      </c:barChart>
      <c:catAx>
        <c:axId val="134199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94672"/>
        <c:crosses val="autoZero"/>
        <c:auto val="1"/>
        <c:lblAlgn val="ctr"/>
        <c:lblOffset val="100"/>
        <c:noMultiLvlLbl val="0"/>
      </c:catAx>
      <c:valAx>
        <c:axId val="1341994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1993232"/>
        <c:crosses val="autoZero"/>
        <c:crossBetween val="between"/>
      </c:valAx>
      <c:spPr>
        <a:solidFill>
          <a:schemeClr val="accent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98653412383139"/>
          <c:y val="0.12367223595310251"/>
          <c:w val="0.79045528938305687"/>
          <c:h val="0.82210717435043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Sheet'!$A$2:$A$15</c:f>
              <c:strCache>
                <c:ptCount val="14"/>
                <c:pt idx="1">
                  <c:v>Aman Verma</c:v>
                </c:pt>
                <c:pt idx="2">
                  <c:v>Neha Singh</c:v>
                </c:pt>
                <c:pt idx="3">
                  <c:v>Rahul Mehta</c:v>
                </c:pt>
                <c:pt idx="4">
                  <c:v>Pooja Iyer</c:v>
                </c:pt>
                <c:pt idx="5">
                  <c:v>Karan Patel</c:v>
                </c:pt>
                <c:pt idx="6">
                  <c:v>Raj</c:v>
                </c:pt>
                <c:pt idx="7">
                  <c:v>Simran</c:v>
                </c:pt>
                <c:pt idx="8">
                  <c:v>Sumeet U</c:v>
                </c:pt>
                <c:pt idx="9">
                  <c:v>Manali K</c:v>
                </c:pt>
                <c:pt idx="10">
                  <c:v>Atharva N</c:v>
                </c:pt>
                <c:pt idx="11">
                  <c:v>Devika N</c:v>
                </c:pt>
                <c:pt idx="12">
                  <c:v>Mandaar Rao</c:v>
                </c:pt>
                <c:pt idx="13">
                  <c:v>Dilp Joshi</c:v>
                </c:pt>
              </c:strCache>
            </c:strRef>
          </c:cat>
          <c:val>
            <c:numRef>
              <c:f>'Support Sheet'!$B$2:$B$15</c:f>
              <c:numCache>
                <c:formatCode>General</c:formatCode>
                <c:ptCount val="14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F-4128-9610-BAED7CB4C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9808160"/>
        <c:axId val="1169810560"/>
      </c:barChart>
      <c:catAx>
        <c:axId val="116980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10560"/>
        <c:crosses val="autoZero"/>
        <c:auto val="1"/>
        <c:lblAlgn val="ctr"/>
        <c:lblOffset val="100"/>
        <c:noMultiLvlLbl val="0"/>
      </c:catAx>
      <c:valAx>
        <c:axId val="1169810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980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Sheet'!$D$2:$D$16</c:f>
              <c:strCache>
                <c:ptCount val="15"/>
                <c:pt idx="1">
                  <c:v>Business Analysis</c:v>
                </c:pt>
                <c:pt idx="2">
                  <c:v>Project Management</c:v>
                </c:pt>
                <c:pt idx="3">
                  <c:v>Design</c:v>
                </c:pt>
                <c:pt idx="4">
                  <c:v>Frontend Development</c:v>
                </c:pt>
                <c:pt idx="5">
                  <c:v>Backend Development</c:v>
                </c:pt>
                <c:pt idx="6">
                  <c:v>Quality Assurance</c:v>
                </c:pt>
                <c:pt idx="7">
                  <c:v>DevOps</c:v>
                </c:pt>
                <c:pt idx="8">
                  <c:v>Content &amp; Marketing</c:v>
                </c:pt>
                <c:pt idx="9">
                  <c:v>Creative</c:v>
                </c:pt>
                <c:pt idx="10">
                  <c:v>Digital Marketing</c:v>
                </c:pt>
                <c:pt idx="11">
                  <c:v>Engineering</c:v>
                </c:pt>
                <c:pt idx="12">
                  <c:v>Client / Stakeholder</c:v>
                </c:pt>
                <c:pt idx="13">
                  <c:v>Security</c:v>
                </c:pt>
                <c:pt idx="14">
                  <c:v>Operations</c:v>
                </c:pt>
              </c:strCache>
            </c:strRef>
          </c:cat>
          <c:val>
            <c:numRef>
              <c:f>'Support Sheet'!$E$2:$E$16</c:f>
              <c:numCache>
                <c:formatCode>General</c:formatCode>
                <c:ptCount val="1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0-488C-B503-C4EBA84C3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993232"/>
        <c:axId val="1341994672"/>
      </c:barChart>
      <c:catAx>
        <c:axId val="134199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94672"/>
        <c:crosses val="autoZero"/>
        <c:auto val="1"/>
        <c:lblAlgn val="ctr"/>
        <c:lblOffset val="100"/>
        <c:noMultiLvlLbl val="0"/>
      </c:catAx>
      <c:valAx>
        <c:axId val="1341994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41993232"/>
        <c:crosses val="autoZero"/>
        <c:crossBetween val="between"/>
      </c:valAx>
      <c:spPr>
        <a:solidFill>
          <a:schemeClr val="accent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369093</xdr:colOff>
      <xdr:row>7</xdr:row>
      <xdr:rowOff>14288</xdr:rowOff>
    </xdr:from>
    <xdr:to>
      <xdr:col>12</xdr:col>
      <xdr:colOff>407193</xdr:colOff>
      <xdr:row>22</xdr:row>
      <xdr:rowOff>42863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9704E8-196A-A56D-9DC0-0FFBE274E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</xdr:row>
      <xdr:rowOff>1</xdr:rowOff>
    </xdr:from>
    <xdr:to>
      <xdr:col>17</xdr:col>
      <xdr:colOff>4763</xdr:colOff>
      <xdr:row>3</xdr:row>
      <xdr:rowOff>19051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747F8A7-CB3E-4625-8E24-CFE283848B53}"/>
            </a:ext>
          </a:extLst>
        </xdr:cNvPr>
        <xdr:cNvSpPr/>
      </xdr:nvSpPr>
      <xdr:spPr>
        <a:xfrm>
          <a:off x="123824" y="104776"/>
          <a:ext cx="13930314" cy="38100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 b="1">
              <a:solidFill>
                <a:schemeClr val="bg2"/>
              </a:solidFill>
              <a:latin typeface="Abadi" panose="020F0502020204030204" pitchFamily="34" charset="0"/>
            </a:rPr>
            <a:t>TASK</a:t>
          </a:r>
          <a:r>
            <a:rPr lang="en-GB" sz="2000" b="1" baseline="0">
              <a:solidFill>
                <a:schemeClr val="bg2"/>
              </a:solidFill>
              <a:latin typeface="Abadi" panose="020F0502020204030204" pitchFamily="34" charset="0"/>
            </a:rPr>
            <a:t> MANAGER TRACKER</a:t>
          </a:r>
          <a:endParaRPr lang="en-GB" sz="2000" b="1">
            <a:solidFill>
              <a:schemeClr val="bg2"/>
            </a:solidFill>
            <a:latin typeface="Abadi" panose="020F0502020204030204" pitchFamily="34" charset="0"/>
          </a:endParaRPr>
        </a:p>
      </xdr:txBody>
    </xdr:sp>
    <xdr:clientData/>
  </xdr:twoCellAnchor>
  <xdr:twoCellAnchor>
    <xdr:from>
      <xdr:col>1</xdr:col>
      <xdr:colOff>5413</xdr:colOff>
      <xdr:row>4</xdr:row>
      <xdr:rowOff>8118</xdr:rowOff>
    </xdr:from>
    <xdr:to>
      <xdr:col>2</xdr:col>
      <xdr:colOff>576913</xdr:colOff>
      <xdr:row>10</xdr:row>
      <xdr:rowOff>36693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AE0C524-1CD1-4CE7-9CBF-0A098E8C9F82}"/>
            </a:ext>
          </a:extLst>
        </xdr:cNvPr>
        <xdr:cNvSpPr/>
      </xdr:nvSpPr>
      <xdr:spPr>
        <a:xfrm>
          <a:off x="129887" y="657550"/>
          <a:ext cx="1218227" cy="1116373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785813</xdr:colOff>
      <xdr:row>4</xdr:row>
      <xdr:rowOff>0</xdr:rowOff>
    </xdr:from>
    <xdr:to>
      <xdr:col>3</xdr:col>
      <xdr:colOff>295275</xdr:colOff>
      <xdr:row>10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CFBCFD5-FBBD-200C-B93E-FC7EF9A41974}"/>
            </a:ext>
          </a:extLst>
        </xdr:cNvPr>
        <xdr:cNvSpPr/>
      </xdr:nvSpPr>
      <xdr:spPr>
        <a:xfrm>
          <a:off x="1557958" y="645333"/>
          <a:ext cx="1220017" cy="111070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 </a:t>
          </a:r>
        </a:p>
      </xdr:txBody>
    </xdr:sp>
    <xdr:clientData/>
  </xdr:twoCellAnchor>
  <xdr:twoCellAnchor>
    <xdr:from>
      <xdr:col>2</xdr:col>
      <xdr:colOff>785813</xdr:colOff>
      <xdr:row>10</xdr:row>
      <xdr:rowOff>176213</xdr:rowOff>
    </xdr:from>
    <xdr:to>
      <xdr:col>3</xdr:col>
      <xdr:colOff>295275</xdr:colOff>
      <xdr:row>17</xdr:row>
      <xdr:rowOff>23813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0BDA040-8CD1-49A3-C599-692A5384AA99}"/>
            </a:ext>
          </a:extLst>
        </xdr:cNvPr>
        <xdr:cNvSpPr/>
      </xdr:nvSpPr>
      <xdr:spPr>
        <a:xfrm>
          <a:off x="1557338" y="1909763"/>
          <a:ext cx="1219200" cy="111442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9525</xdr:colOff>
      <xdr:row>10</xdr:row>
      <xdr:rowOff>176213</xdr:rowOff>
    </xdr:from>
    <xdr:to>
      <xdr:col>2</xdr:col>
      <xdr:colOff>581025</xdr:colOff>
      <xdr:row>17</xdr:row>
      <xdr:rowOff>23813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A5B1DC7-7202-BBAE-72F8-272F623550B1}"/>
            </a:ext>
          </a:extLst>
        </xdr:cNvPr>
        <xdr:cNvSpPr/>
      </xdr:nvSpPr>
      <xdr:spPr>
        <a:xfrm>
          <a:off x="133999" y="1913443"/>
          <a:ext cx="1218227" cy="1116698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495298</xdr:colOff>
      <xdr:row>3</xdr:row>
      <xdr:rowOff>176212</xdr:rowOff>
    </xdr:from>
    <xdr:to>
      <xdr:col>7</xdr:col>
      <xdr:colOff>1329</xdr:colOff>
      <xdr:row>20</xdr:row>
      <xdr:rowOff>166997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18CDCC5-5296-41AF-917D-6B65E4E36320}"/>
            </a:ext>
          </a:extLst>
        </xdr:cNvPr>
        <xdr:cNvSpPr/>
      </xdr:nvSpPr>
      <xdr:spPr>
        <a:xfrm>
          <a:off x="2977123" y="640630"/>
          <a:ext cx="4102879" cy="3058308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209548</xdr:colOff>
      <xdr:row>3</xdr:row>
      <xdr:rowOff>176212</xdr:rowOff>
    </xdr:from>
    <xdr:to>
      <xdr:col>12</xdr:col>
      <xdr:colOff>576261</xdr:colOff>
      <xdr:row>20</xdr:row>
      <xdr:rowOff>154627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9CA1DC3-FF06-1B84-E230-6D68D06FF4FE}"/>
            </a:ext>
          </a:extLst>
        </xdr:cNvPr>
        <xdr:cNvSpPr/>
      </xdr:nvSpPr>
      <xdr:spPr>
        <a:xfrm>
          <a:off x="7285262" y="640093"/>
          <a:ext cx="4417931" cy="3027651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119060</xdr:colOff>
      <xdr:row>4</xdr:row>
      <xdr:rowOff>28574</xdr:rowOff>
    </xdr:from>
    <xdr:to>
      <xdr:col>16</xdr:col>
      <xdr:colOff>642938</xdr:colOff>
      <xdr:row>16</xdr:row>
      <xdr:rowOff>157163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1BC4CB3-35F4-4C5C-B207-A151C6FC8FB3}"/>
            </a:ext>
          </a:extLst>
        </xdr:cNvPr>
        <xdr:cNvSpPr/>
      </xdr:nvSpPr>
      <xdr:spPr>
        <a:xfrm>
          <a:off x="11897089" y="673343"/>
          <a:ext cx="2469176" cy="228270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180240</xdr:colOff>
      <xdr:row>4</xdr:row>
      <xdr:rowOff>114523</xdr:rowOff>
    </xdr:from>
    <xdr:to>
      <xdr:col>2</xdr:col>
      <xdr:colOff>425854</xdr:colOff>
      <xdr:row>6</xdr:row>
      <xdr:rowOff>46208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2BC658-2E4F-3909-F8C6-B065084F9982}"/>
            </a:ext>
          </a:extLst>
        </xdr:cNvPr>
        <xdr:cNvSpPr txBox="1"/>
      </xdr:nvSpPr>
      <xdr:spPr>
        <a:xfrm>
          <a:off x="304714" y="763955"/>
          <a:ext cx="892341" cy="2942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  <a:ea typeface="+mn-ea"/>
              <a:cs typeface="+mn-cs"/>
            </a:rPr>
            <a:t>Total Tasks</a:t>
          </a:r>
        </a:p>
      </xdr:txBody>
    </xdr:sp>
    <xdr:clientData/>
  </xdr:twoCellAnchor>
  <xdr:twoCellAnchor>
    <xdr:from>
      <xdr:col>2</xdr:col>
      <xdr:colOff>966735</xdr:colOff>
      <xdr:row>4</xdr:row>
      <xdr:rowOff>125533</xdr:rowOff>
    </xdr:from>
    <xdr:to>
      <xdr:col>3</xdr:col>
      <xdr:colOff>302832</xdr:colOff>
      <xdr:row>6</xdr:row>
      <xdr:rowOff>88002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86F4B3-44AA-4CF1-849A-30922A851231}"/>
            </a:ext>
          </a:extLst>
        </xdr:cNvPr>
        <xdr:cNvSpPr txBox="1"/>
      </xdr:nvSpPr>
      <xdr:spPr>
        <a:xfrm>
          <a:off x="1738053" y="773906"/>
          <a:ext cx="1045679" cy="3248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</a:rPr>
            <a:t>Not Started</a:t>
          </a:r>
        </a:p>
      </xdr:txBody>
    </xdr:sp>
    <xdr:clientData/>
  </xdr:twoCellAnchor>
  <xdr:twoCellAnchor>
    <xdr:from>
      <xdr:col>1</xdr:col>
      <xdr:colOff>272756</xdr:colOff>
      <xdr:row>5</xdr:row>
      <xdr:rowOff>160802</xdr:rowOff>
    </xdr:from>
    <xdr:to>
      <xdr:col>2</xdr:col>
      <xdr:colOff>432248</xdr:colOff>
      <xdr:row>8</xdr:row>
      <xdr:rowOff>172123</xdr:rowOff>
    </xdr:to>
    <xdr:sp macro="" textlink="'Support Sheet'!H5">
      <xdr:nvSpPr>
        <xdr:cNvPr id="15" name="TextBox 14">
          <a:extLst>
            <a:ext uri="{FF2B5EF4-FFF2-40B4-BE49-F238E27FC236}">
              <a16:creationId xmlns:a16="http://schemas.microsoft.com/office/drawing/2014/main" id="{660411E6-7B5C-D30E-8E52-4CC12FCB8E6A}"/>
            </a:ext>
          </a:extLst>
        </xdr:cNvPr>
        <xdr:cNvSpPr txBox="1"/>
      </xdr:nvSpPr>
      <xdr:spPr>
        <a:xfrm>
          <a:off x="396995" y="990357"/>
          <a:ext cx="806571" cy="5548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50EEDCD-4C7D-420A-B7F7-789B27D15C15}" type="TxLink">
            <a:rPr lang="en-US" sz="4000" b="1">
              <a:solidFill>
                <a:schemeClr val="bg2"/>
              </a:solidFill>
              <a:latin typeface="Abadi" panose="020B0604020104020204" pitchFamily="34" charset="0"/>
              <a:ea typeface="+mn-ea"/>
              <a:cs typeface="+mn-cs"/>
            </a:rPr>
            <a:pPr marL="0" indent="0"/>
            <a:t>17</a:t>
          </a:fld>
          <a:endParaRPr lang="en-GB" sz="4000" b="1">
            <a:solidFill>
              <a:schemeClr val="bg2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966528</xdr:colOff>
      <xdr:row>4</xdr:row>
      <xdr:rowOff>126206</xdr:rowOff>
    </xdr:from>
    <xdr:to>
      <xdr:col>3</xdr:col>
      <xdr:colOff>302625</xdr:colOff>
      <xdr:row>6</xdr:row>
      <xdr:rowOff>88675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5775453-661C-48A9-9094-162361193CA0}"/>
            </a:ext>
          </a:extLst>
        </xdr:cNvPr>
        <xdr:cNvSpPr txBox="1"/>
      </xdr:nvSpPr>
      <xdr:spPr>
        <a:xfrm>
          <a:off x="1738673" y="771539"/>
          <a:ext cx="1046652" cy="323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</a:rPr>
            <a:t>Not Started</a:t>
          </a:r>
        </a:p>
      </xdr:txBody>
    </xdr:sp>
    <xdr:clientData/>
  </xdr:twoCellAnchor>
  <xdr:oneCellAnchor>
    <xdr:from>
      <xdr:col>2</xdr:col>
      <xdr:colOff>1019412</xdr:colOff>
      <xdr:row>5</xdr:row>
      <xdr:rowOff>155793</xdr:rowOff>
    </xdr:from>
    <xdr:ext cx="705129" cy="641138"/>
    <xdr:sp macro="" textlink="'Support Sheet'!H4">
      <xdr:nvSpPr>
        <xdr:cNvPr id="19" name="TextBox 18">
          <a:extLst>
            <a:ext uri="{FF2B5EF4-FFF2-40B4-BE49-F238E27FC236}">
              <a16:creationId xmlns:a16="http://schemas.microsoft.com/office/drawing/2014/main" id="{FDF469FB-48A0-ECD4-75C6-7158D4AB2CCD}"/>
            </a:ext>
          </a:extLst>
        </xdr:cNvPr>
        <xdr:cNvSpPr txBox="1"/>
      </xdr:nvSpPr>
      <xdr:spPr>
        <a:xfrm>
          <a:off x="1790613" y="986525"/>
          <a:ext cx="705129" cy="641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1C413EB-15B6-467B-A33E-B6E1F5DD1416}" type="TxLink">
            <a:rPr lang="en-US" sz="4000" b="1">
              <a:solidFill>
                <a:schemeClr val="bg2"/>
              </a:solidFill>
              <a:latin typeface="Abadi" panose="020B0604020104020204" pitchFamily="34" charset="0"/>
              <a:ea typeface="+mn-ea"/>
              <a:cs typeface="+mn-cs"/>
            </a:rPr>
            <a:pPr marL="0" indent="0"/>
            <a:t>9</a:t>
          </a:fld>
          <a:endParaRPr lang="en-GB" sz="4000" b="1">
            <a:solidFill>
              <a:schemeClr val="bg2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1124172</xdr:colOff>
      <xdr:row>12</xdr:row>
      <xdr:rowOff>163365</xdr:rowOff>
    </xdr:from>
    <xdr:ext cx="551010" cy="567624"/>
    <xdr:sp macro="" textlink="'Support Sheet'!H3">
      <xdr:nvSpPr>
        <xdr:cNvPr id="27" name="TextBox 26">
          <a:extLst>
            <a:ext uri="{FF2B5EF4-FFF2-40B4-BE49-F238E27FC236}">
              <a16:creationId xmlns:a16="http://schemas.microsoft.com/office/drawing/2014/main" id="{FDE89155-C820-E5DC-F207-E8B370D2C93F}"/>
            </a:ext>
          </a:extLst>
        </xdr:cNvPr>
        <xdr:cNvSpPr txBox="1"/>
      </xdr:nvSpPr>
      <xdr:spPr>
        <a:xfrm>
          <a:off x="1896694" y="2248343"/>
          <a:ext cx="551010" cy="567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18FD450-8957-4ADA-B4ED-54C7909E9430}" type="TxLink">
            <a:rPr lang="en-US" sz="4000" b="1">
              <a:solidFill>
                <a:schemeClr val="bg2"/>
              </a:solidFill>
              <a:latin typeface="Abadi" panose="020B0604020104020204" pitchFamily="34" charset="0"/>
              <a:ea typeface="+mn-ea"/>
              <a:cs typeface="+mn-cs"/>
            </a:rPr>
            <a:pPr marL="0" indent="0"/>
            <a:t>5</a:t>
          </a:fld>
          <a:endParaRPr lang="en-GB" sz="4000" b="1">
            <a:solidFill>
              <a:schemeClr val="bg2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1096910</xdr:colOff>
      <xdr:row>23</xdr:row>
      <xdr:rowOff>24932</xdr:rowOff>
    </xdr:from>
    <xdr:ext cx="705129" cy="641138"/>
    <xdr:sp macro="" textlink="'Support Sheet'!H4">
      <xdr:nvSpPr>
        <xdr:cNvPr id="28" name="TextBox 27">
          <a:extLst>
            <a:ext uri="{FF2B5EF4-FFF2-40B4-BE49-F238E27FC236}">
              <a16:creationId xmlns:a16="http://schemas.microsoft.com/office/drawing/2014/main" id="{90D6D8D1-5A84-71D5-B087-1A9D28BDD0C6}"/>
            </a:ext>
          </a:extLst>
        </xdr:cNvPr>
        <xdr:cNvSpPr txBox="1"/>
      </xdr:nvSpPr>
      <xdr:spPr>
        <a:xfrm>
          <a:off x="1868111" y="3575159"/>
          <a:ext cx="705129" cy="641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1C413EB-15B6-467B-A33E-B6E1F5DD1416}" type="TxLink">
            <a:rPr lang="en-US" sz="4000" b="1">
              <a:solidFill>
                <a:schemeClr val="bg2"/>
              </a:solidFill>
              <a:latin typeface="Abadi" panose="020B0604020104020204" pitchFamily="34" charset="0"/>
              <a:ea typeface="+mn-ea"/>
              <a:cs typeface="+mn-cs"/>
            </a:rPr>
            <a:pPr marL="0" indent="0"/>
            <a:t>9</a:t>
          </a:fld>
          <a:endParaRPr lang="en-GB" sz="4000" b="1">
            <a:solidFill>
              <a:schemeClr val="bg2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359956</xdr:colOff>
      <xdr:row>12</xdr:row>
      <xdr:rowOff>174440</xdr:rowOff>
    </xdr:from>
    <xdr:ext cx="465174" cy="526090"/>
    <xdr:sp macro="" textlink="'Support Sheet'!H2">
      <xdr:nvSpPr>
        <xdr:cNvPr id="29" name="TextBox 28">
          <a:extLst>
            <a:ext uri="{FF2B5EF4-FFF2-40B4-BE49-F238E27FC236}">
              <a16:creationId xmlns:a16="http://schemas.microsoft.com/office/drawing/2014/main" id="{1CD5FBDB-A247-A40A-3008-5AC69D673165}"/>
            </a:ext>
          </a:extLst>
        </xdr:cNvPr>
        <xdr:cNvSpPr txBox="1"/>
      </xdr:nvSpPr>
      <xdr:spPr>
        <a:xfrm>
          <a:off x="484557" y="2259418"/>
          <a:ext cx="465174" cy="526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00B99B4-1361-4A90-8F2B-64654900ABA2}" type="TxLink">
            <a:rPr lang="en-US" sz="4000" b="1">
              <a:solidFill>
                <a:schemeClr val="bg2"/>
              </a:solidFill>
              <a:latin typeface="Abadi" panose="020B0604020104020204" pitchFamily="34" charset="0"/>
              <a:ea typeface="+mn-ea"/>
              <a:cs typeface="+mn-cs"/>
            </a:rPr>
            <a:pPr marL="0" indent="0"/>
            <a:t>3</a:t>
          </a:fld>
          <a:endParaRPr lang="en-GB" sz="4000" b="1">
            <a:solidFill>
              <a:schemeClr val="bg2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2</xdr:col>
      <xdr:colOff>954528</xdr:colOff>
      <xdr:row>11</xdr:row>
      <xdr:rowOff>116274</xdr:rowOff>
    </xdr:from>
    <xdr:to>
      <xdr:col>3</xdr:col>
      <xdr:colOff>290625</xdr:colOff>
      <xdr:row>13</xdr:row>
      <xdr:rowOff>78743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304EDD8-0CBE-1C92-E891-0CC27A55FE09}"/>
            </a:ext>
          </a:extLst>
        </xdr:cNvPr>
        <xdr:cNvSpPr txBox="1"/>
      </xdr:nvSpPr>
      <xdr:spPr>
        <a:xfrm>
          <a:off x="1725680" y="2034833"/>
          <a:ext cx="1046191" cy="325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</a:rPr>
            <a:t>In</a:t>
          </a:r>
          <a:r>
            <a:rPr lang="en-GB" sz="1100" b="1" baseline="0">
              <a:solidFill>
                <a:schemeClr val="bg2"/>
              </a:solidFill>
              <a:latin typeface="Abadi" panose="020B0604020104020204" pitchFamily="34" charset="0"/>
            </a:rPr>
            <a:t> Progress</a:t>
          </a:r>
          <a:endParaRPr lang="en-GB" sz="1100" b="1">
            <a:solidFill>
              <a:schemeClr val="bg2"/>
            </a:solidFill>
            <a:latin typeface="Abadi" panose="020B0604020104020204" pitchFamily="34" charset="0"/>
          </a:endParaRPr>
        </a:p>
      </xdr:txBody>
    </xdr:sp>
    <xdr:clientData/>
  </xdr:twoCellAnchor>
  <xdr:twoCellAnchor>
    <xdr:from>
      <xdr:col>2</xdr:col>
      <xdr:colOff>931987</xdr:colOff>
      <xdr:row>21</xdr:row>
      <xdr:rowOff>128104</xdr:rowOff>
    </xdr:from>
    <xdr:to>
      <xdr:col>3</xdr:col>
      <xdr:colOff>268084</xdr:colOff>
      <xdr:row>23</xdr:row>
      <xdr:rowOff>90572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CA22EDB-C118-0402-0308-A716CBD0C545}"/>
            </a:ext>
          </a:extLst>
        </xdr:cNvPr>
        <xdr:cNvSpPr txBox="1"/>
      </xdr:nvSpPr>
      <xdr:spPr>
        <a:xfrm>
          <a:off x="1703139" y="3316098"/>
          <a:ext cx="1046191" cy="325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</a:rPr>
            <a:t>Not Started</a:t>
          </a:r>
        </a:p>
      </xdr:txBody>
    </xdr:sp>
    <xdr:clientData/>
  </xdr:twoCellAnchor>
  <xdr:twoCellAnchor>
    <xdr:from>
      <xdr:col>1</xdr:col>
      <xdr:colOff>164597</xdr:colOff>
      <xdr:row>11</xdr:row>
      <xdr:rowOff>117833</xdr:rowOff>
    </xdr:from>
    <xdr:to>
      <xdr:col>2</xdr:col>
      <xdr:colOff>563359</xdr:colOff>
      <xdr:row>13</xdr:row>
      <xdr:rowOff>80302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69C4716-34B5-8439-F663-A1761C4ABCA3}"/>
            </a:ext>
          </a:extLst>
        </xdr:cNvPr>
        <xdr:cNvSpPr txBox="1"/>
      </xdr:nvSpPr>
      <xdr:spPr>
        <a:xfrm>
          <a:off x="288320" y="2036392"/>
          <a:ext cx="1046191" cy="325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</a:rPr>
            <a:t>Completed</a:t>
          </a:r>
        </a:p>
      </xdr:txBody>
    </xdr:sp>
    <xdr:clientData/>
  </xdr:twoCellAnchor>
  <xdr:twoCellAnchor>
    <xdr:from>
      <xdr:col>14</xdr:col>
      <xdr:colOff>14177</xdr:colOff>
      <xdr:row>5</xdr:row>
      <xdr:rowOff>93628</xdr:rowOff>
    </xdr:from>
    <xdr:to>
      <xdr:col>16</xdr:col>
      <xdr:colOff>76848</xdr:colOff>
      <xdr:row>7</xdr:row>
      <xdr:rowOff>56240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12A5A2D-4474-71C6-420A-0F9ADA42AFC9}"/>
            </a:ext>
          </a:extLst>
        </xdr:cNvPr>
        <xdr:cNvSpPr txBox="1"/>
      </xdr:nvSpPr>
      <xdr:spPr>
        <a:xfrm>
          <a:off x="12439973" y="916242"/>
          <a:ext cx="1361535" cy="321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>
              <a:solidFill>
                <a:schemeClr val="bg2"/>
              </a:solidFill>
              <a:latin typeface="Abadi" panose="020B0604020104020204" pitchFamily="34" charset="0"/>
            </a:rPr>
            <a:t>Overdue</a:t>
          </a:r>
        </a:p>
      </xdr:txBody>
    </xdr:sp>
    <xdr:clientData/>
  </xdr:twoCellAnchor>
  <xdr:twoCellAnchor>
    <xdr:from>
      <xdr:col>3</xdr:col>
      <xdr:colOff>655615</xdr:colOff>
      <xdr:row>6</xdr:row>
      <xdr:rowOff>43295</xdr:rowOff>
    </xdr:from>
    <xdr:to>
      <xdr:col>6</xdr:col>
      <xdr:colOff>525731</xdr:colOff>
      <xdr:row>19</xdr:row>
      <xdr:rowOff>154626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AC3CA60-D4FD-409C-8B21-B5CB2FF3D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408215</xdr:colOff>
      <xdr:row>6</xdr:row>
      <xdr:rowOff>0</xdr:rowOff>
    </xdr:from>
    <xdr:to>
      <xdr:col>12</xdr:col>
      <xdr:colOff>197922</xdr:colOff>
      <xdr:row>20</xdr:row>
      <xdr:rowOff>43358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757C983-1516-494E-AC6B-307A262DE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113181</xdr:colOff>
      <xdr:row>4</xdr:row>
      <xdr:rowOff>122904</xdr:rowOff>
    </xdr:from>
    <xdr:to>
      <xdr:col>5</xdr:col>
      <xdr:colOff>630069</xdr:colOff>
      <xdr:row>6</xdr:row>
      <xdr:rowOff>85373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29473C9-F9DE-BC79-AE63-932321B73F0A}"/>
            </a:ext>
          </a:extLst>
        </xdr:cNvPr>
        <xdr:cNvSpPr txBox="1"/>
      </xdr:nvSpPr>
      <xdr:spPr>
        <a:xfrm>
          <a:off x="4304773" y="767764"/>
          <a:ext cx="1779985" cy="323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</a:rPr>
            <a:t>#</a:t>
          </a:r>
          <a:r>
            <a:rPr lang="en-GB" sz="1100" b="1" baseline="0">
              <a:solidFill>
                <a:schemeClr val="bg2"/>
              </a:solidFill>
              <a:latin typeface="Abadi" panose="020B0604020104020204" pitchFamily="34" charset="0"/>
            </a:rPr>
            <a:t> of Task by Owner</a:t>
          </a:r>
          <a:endParaRPr lang="en-GB" sz="1100" b="1">
            <a:solidFill>
              <a:schemeClr val="bg2"/>
            </a:solidFill>
            <a:latin typeface="Abadi" panose="020B0604020104020204" pitchFamily="34" charset="0"/>
          </a:endParaRPr>
        </a:p>
      </xdr:txBody>
    </xdr:sp>
    <xdr:clientData/>
  </xdr:twoCellAnchor>
  <xdr:twoCellAnchor>
    <xdr:from>
      <xdr:col>9</xdr:col>
      <xdr:colOff>144301</xdr:colOff>
      <xdr:row>4</xdr:row>
      <xdr:rowOff>115567</xdr:rowOff>
    </xdr:from>
    <xdr:to>
      <xdr:col>10</xdr:col>
      <xdr:colOff>993913</xdr:colOff>
      <xdr:row>6</xdr:row>
      <xdr:rowOff>78036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41FEE8D-0B5B-F9F2-8532-6EF33C7054D0}"/>
            </a:ext>
          </a:extLst>
        </xdr:cNvPr>
        <xdr:cNvSpPr txBox="1"/>
      </xdr:nvSpPr>
      <xdr:spPr>
        <a:xfrm>
          <a:off x="8829208" y="760427"/>
          <a:ext cx="1521095" cy="323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solidFill>
                <a:schemeClr val="bg2"/>
              </a:solidFill>
              <a:latin typeface="Abadi" panose="020B0604020104020204" pitchFamily="34" charset="0"/>
            </a:rPr>
            <a:t>#</a:t>
          </a:r>
          <a:r>
            <a:rPr lang="en-GB" sz="1100" b="1" baseline="0">
              <a:solidFill>
                <a:schemeClr val="bg2"/>
              </a:solidFill>
              <a:latin typeface="Abadi" panose="020B0604020104020204" pitchFamily="34" charset="0"/>
            </a:rPr>
            <a:t> of Task by Team</a:t>
          </a:r>
          <a:endParaRPr lang="en-GB" sz="1100" b="1">
            <a:solidFill>
              <a:schemeClr val="bg2"/>
            </a:solidFill>
            <a:latin typeface="Abadi" panose="020B0604020104020204" pitchFamily="34" charset="0"/>
          </a:endParaRPr>
        </a:p>
      </xdr:txBody>
    </xdr:sp>
    <xdr:clientData/>
  </xdr:twoCellAnchor>
  <xdr:oneCellAnchor>
    <xdr:from>
      <xdr:col>14</xdr:col>
      <xdr:colOff>178022</xdr:colOff>
      <xdr:row>8</xdr:row>
      <xdr:rowOff>125264</xdr:rowOff>
    </xdr:from>
    <xdr:ext cx="1149128" cy="1049485"/>
    <xdr:sp macro="" textlink="'Support Sheet'!H9">
      <xdr:nvSpPr>
        <xdr:cNvPr id="41" name="TextBox 40">
          <a:extLst>
            <a:ext uri="{FF2B5EF4-FFF2-40B4-BE49-F238E27FC236}">
              <a16:creationId xmlns:a16="http://schemas.microsoft.com/office/drawing/2014/main" id="{2BD4177E-B6BF-FCC1-103E-3F6271CCE7BA}"/>
            </a:ext>
          </a:extLst>
        </xdr:cNvPr>
        <xdr:cNvSpPr txBox="1"/>
      </xdr:nvSpPr>
      <xdr:spPr>
        <a:xfrm>
          <a:off x="12598622" y="1522264"/>
          <a:ext cx="1149128" cy="1049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FB1521B-82F5-4D65-80A6-19FB5F611D1B}" type="TxLink">
            <a:rPr lang="en-US" sz="6000" b="1" i="0" u="none" strike="noStrike">
              <a:solidFill>
                <a:schemeClr val="bg2"/>
              </a:solidFill>
              <a:latin typeface="Abadi" panose="020B0604020104020204" pitchFamily="34" charset="0"/>
              <a:ea typeface="+mn-ea"/>
              <a:cs typeface="+mn-cs"/>
            </a:rPr>
            <a:pPr marL="0" indent="0"/>
            <a:t>14</a:t>
          </a:fld>
          <a:endParaRPr lang="en-GB" sz="6000" b="1">
            <a:solidFill>
              <a:schemeClr val="bg2"/>
            </a:solidFill>
            <a:latin typeface="Abadi" panose="020B0604020104020204" pitchFamily="34" charset="0"/>
            <a:ea typeface="+mn-ea"/>
            <a:cs typeface="+mn-cs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2</xdr:row>
      <xdr:rowOff>9525</xdr:rowOff>
    </xdr:from>
    <xdr:to>
      <xdr:col>11</xdr:col>
      <xdr:colOff>542926</xdr:colOff>
      <xdr:row>10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5B079FE-8E28-E3E1-D3EC-9335487D7020}"/>
            </a:ext>
          </a:extLst>
        </xdr:cNvPr>
        <xdr:cNvSpPr/>
      </xdr:nvSpPr>
      <xdr:spPr>
        <a:xfrm>
          <a:off x="6076950" y="371475"/>
          <a:ext cx="1590676" cy="14382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73817</xdr:colOff>
      <xdr:row>17</xdr:row>
      <xdr:rowOff>9525</xdr:rowOff>
    </xdr:from>
    <xdr:to>
      <xdr:col>5</xdr:col>
      <xdr:colOff>333374</xdr:colOff>
      <xdr:row>31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A1FEAC-8D20-395A-0D1A-C2F76A6EE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140492</xdr:colOff>
      <xdr:row>16</xdr:row>
      <xdr:rowOff>166688</xdr:rowOff>
    </xdr:from>
    <xdr:to>
      <xdr:col>12</xdr:col>
      <xdr:colOff>600075</xdr:colOff>
      <xdr:row>32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AF402F-2456-7B0B-F467-160F7C313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vika Nikam" id="{10788E3B-B932-4526-B6B2-4CF66A63308A}" userId="c06efdf5a8d2851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FD85C-53AE-4B57-91C8-CC2567060CAA}" name="Table1" displayName="Table1" ref="B23:K40" totalsRowShown="0" headerRowDxfId="72" dataDxfId="71">
  <autoFilter ref="B23:K40" xr:uid="{654FD85C-53AE-4B57-91C8-CC2567060CAA}"/>
  <tableColumns count="10">
    <tableColumn id="1" xr3:uid="{B332AE94-F807-4AF8-9CB7-388BF336C8AF}" name="Task ID"/>
    <tableColumn id="2" xr3:uid="{BF0D1503-1619-4960-BCCE-94388C74BD93}" name="Task Name"/>
    <tableColumn id="3" xr3:uid="{DC08D543-DC66-47B0-BB63-1BBC9B409A99}" name="Team" dataDxfId="70"/>
    <tableColumn id="4" xr3:uid="{1718426E-B678-4D0B-91CB-2CBD712B59B1}" name="Assigned Resource"/>
    <tableColumn id="5" xr3:uid="{9124183F-C1BC-4086-8232-F55C66313B8B}" name="Start Date" dataDxfId="69"/>
    <tableColumn id="6" xr3:uid="{A2391849-F0D9-4A1E-94FF-F5C41794A879}" name="End Date" dataDxfId="68"/>
    <tableColumn id="7" xr3:uid="{E6439C1E-6299-4608-9FE3-3C604458B8ED}" name="Task Duration" dataDxfId="67">
      <calculatedColumnFormula>Table1[[#This Row],[End Date]]-Table1[[#This Row],[Start Date]]</calculatedColumnFormula>
    </tableColumn>
    <tableColumn id="8" xr3:uid="{62B75DD8-4A40-4F13-99D1-BFC7AB0C07A2}" name="Status" dataDxfId="66"/>
    <tableColumn id="9" xr3:uid="{F5C3205D-D7CD-4629-9E44-69CC7540588F}" name="Overdue" dataDxfId="65">
      <calculatedColumnFormula>AND(Table1[[#This Row],[Status]]&lt;&gt;"COMPLETED",Table1[[#This Row],[End Date]]&lt;TODAY())</calculatedColumnFormula>
    </tableColumn>
    <tableColumn id="10" xr3:uid="{C707B3BE-5851-4061-8827-D9F091777E02}" name="Comments" dataDxfId="64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DBE274-8A02-4F22-9665-E725AFB659FD}" name="Table2" displayName="Table2" ref="A1:B15" totalsRowShown="0">
  <autoFilter ref="A1:B15" xr:uid="{FDDBE274-8A02-4F22-9665-E725AFB659FD}"/>
  <tableColumns count="2">
    <tableColumn id="1" xr3:uid="{E32F518F-8A0B-47AC-9558-E967555979C4}" name="Owners"/>
    <tableColumn id="2" xr3:uid="{61170CE2-7FF6-4A28-91BB-C942FE0CA35C}" name="Count" dataDxfId="63">
      <calculatedColumnFormula>COUNTIF(Table1[Assigned Resource],'Support Sheet'!A2)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82A83-E0E3-4FCD-B996-43BFD0EDD366}" name="Table3" displayName="Table3" ref="D1:E16" totalsRowShown="0">
  <autoFilter ref="D1:E16" xr:uid="{37E82A83-E0E3-4FCD-B996-43BFD0EDD366}"/>
  <tableColumns count="2">
    <tableColumn id="1" xr3:uid="{342DB38C-07BE-4AF2-AA8F-90F287388B7C}" name="Team"/>
    <tableColumn id="2" xr3:uid="{20BD1636-9D7D-4392-AF94-DB4901E9F869}" name="Count" dataDxfId="62">
      <calculatedColumnFormula>COUNTIF(Table1[Team],Table3[[#This Row],[Team]])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8A9EA2-9C91-4321-BFCA-91B85C27CD89}" name="Table4" displayName="Table4" ref="G1:H5" totalsRowShown="0">
  <autoFilter ref="G1:H5" xr:uid="{178A9EA2-9C91-4321-BFCA-91B85C27CD89}"/>
  <tableColumns count="2">
    <tableColumn id="1" xr3:uid="{75F185B9-2DD6-4305-9F18-A9343145D5C9}" name="Progress"/>
    <tableColumn id="2" xr3:uid="{811D21DC-568C-45D6-8C94-8C4F0728E9DA}" name="Coun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1583F5-25D9-468F-B194-1F9A89A0F067}" name="Table5" displayName="Table5" ref="G7:H9" totalsRowShown="0" headerRowDxfId="61">
  <autoFilter ref="G7:H9" xr:uid="{191583F5-25D9-468F-B194-1F9A89A0F067}"/>
  <tableColumns count="2">
    <tableColumn id="1" xr3:uid="{7763BCEB-DE22-4A61-9812-982912AD4A89}" name="Count"/>
    <tableColumn id="2" xr3:uid="{557B7FAC-905A-4C1F-B342-4DB601D084AC}" name="Overdue">
      <calculatedColumnFormula>COUNTIF(Table1[Overdue],TRUE)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2-21T17:58:57.87" personId="{10788E3B-B932-4526-B6B2-4CF66A63308A}" id="{F90DC156-C6EC-4711-B3CB-E224DA531781}">
    <text xml:space="preserve">To understand If the action is an action or an Issue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3CFF-6878-4B94-91DA-4438DBC04EA7}">
  <dimension ref="A1:B10"/>
  <sheetViews>
    <sheetView workbookViewId="0"/>
  </sheetViews>
  <sheetFormatPr defaultRowHeight="14.25" x14ac:dyDescent="0.45"/>
  <cols>
    <col min="1" max="1" width="31.265625" customWidth="1"/>
    <col min="2" max="2" width="84.265625" customWidth="1"/>
  </cols>
  <sheetData>
    <row r="1" spans="1:2" x14ac:dyDescent="0.45">
      <c r="A1" s="5" t="s">
        <v>0</v>
      </c>
      <c r="B1" s="5" t="s">
        <v>1</v>
      </c>
    </row>
    <row r="2" spans="1:2" x14ac:dyDescent="0.45">
      <c r="A2" s="6" t="s">
        <v>2</v>
      </c>
      <c r="B2" s="6" t="s">
        <v>3</v>
      </c>
    </row>
    <row r="3" spans="1:2" x14ac:dyDescent="0.45">
      <c r="A3" s="6" t="s">
        <v>4</v>
      </c>
      <c r="B3" s="6" t="s">
        <v>5</v>
      </c>
    </row>
    <row r="4" spans="1:2" x14ac:dyDescent="0.45">
      <c r="A4" s="6" t="s">
        <v>6</v>
      </c>
      <c r="B4" s="6" t="s">
        <v>7</v>
      </c>
    </row>
    <row r="5" spans="1:2" x14ac:dyDescent="0.45">
      <c r="A5" s="6" t="s">
        <v>8</v>
      </c>
      <c r="B5" s="7">
        <v>45658</v>
      </c>
    </row>
    <row r="6" spans="1:2" x14ac:dyDescent="0.45">
      <c r="A6" s="6" t="s">
        <v>9</v>
      </c>
      <c r="B6" s="7">
        <v>45747</v>
      </c>
    </row>
    <row r="7" spans="1:2" x14ac:dyDescent="0.45">
      <c r="A7" s="6" t="s">
        <v>10</v>
      </c>
      <c r="B7" s="8">
        <v>25000</v>
      </c>
    </row>
    <row r="8" spans="1:2" x14ac:dyDescent="0.45">
      <c r="A8" s="6" t="s">
        <v>11</v>
      </c>
      <c r="B8" s="6" t="s">
        <v>12</v>
      </c>
    </row>
    <row r="9" spans="1:2" x14ac:dyDescent="0.45">
      <c r="A9" s="6" t="s">
        <v>13</v>
      </c>
      <c r="B9" s="6" t="s">
        <v>14</v>
      </c>
    </row>
    <row r="10" spans="1:2" x14ac:dyDescent="0.45">
      <c r="A10" s="6" t="s">
        <v>15</v>
      </c>
      <c r="B10" s="7">
        <v>45703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E5B4-3626-4793-808B-C1299B30BA42}">
  <dimension ref="A1:T70"/>
  <sheetViews>
    <sheetView zoomScale="81" zoomScaleNormal="78" workbookViewId="0">
      <selection activeCell="F25" sqref="F25"/>
    </sheetView>
  </sheetViews>
  <sheetFormatPr defaultRowHeight="14.25" x14ac:dyDescent="0.45"/>
  <cols>
    <col min="1" max="1" width="6.3984375" bestFit="1" customWidth="1"/>
    <col min="2" max="2" width="24.33203125" bestFit="1" customWidth="1"/>
    <col min="3" max="3" width="26.86328125" customWidth="1"/>
    <col min="4" max="4" width="17.06640625" customWidth="1"/>
    <col min="5" max="5" width="4.796875" bestFit="1" customWidth="1"/>
    <col min="6" max="6" width="8.1328125" bestFit="1" customWidth="1"/>
    <col min="7" max="7" width="17.06640625" customWidth="1"/>
    <col min="8" max="8" width="17.33203125" style="13" customWidth="1"/>
    <col min="9" max="9" width="17.3984375" style="13" customWidth="1"/>
    <col min="10" max="10" width="16.265625" customWidth="1"/>
  </cols>
  <sheetData>
    <row r="1" spans="1:12" x14ac:dyDescent="0.45">
      <c r="A1" s="4" t="s">
        <v>16</v>
      </c>
      <c r="B1" s="4" t="s">
        <v>17</v>
      </c>
      <c r="C1" s="4" t="s">
        <v>18</v>
      </c>
      <c r="D1" s="4" t="s">
        <v>19</v>
      </c>
      <c r="E1" s="4"/>
      <c r="F1" s="4"/>
      <c r="G1" s="4" t="s">
        <v>128</v>
      </c>
      <c r="H1" s="4" t="s">
        <v>20</v>
      </c>
      <c r="I1" s="4" t="s">
        <v>21</v>
      </c>
      <c r="J1" s="4" t="s">
        <v>22</v>
      </c>
      <c r="K1" s="4" t="s">
        <v>127</v>
      </c>
    </row>
    <row r="2" spans="1:12" x14ac:dyDescent="0.45">
      <c r="A2" s="1" t="s">
        <v>23</v>
      </c>
      <c r="B2" s="1" t="s">
        <v>24</v>
      </c>
      <c r="C2" s="1" t="s">
        <v>25</v>
      </c>
      <c r="D2" s="9" t="s">
        <v>26</v>
      </c>
      <c r="E2" s="9"/>
      <c r="F2" s="9"/>
      <c r="G2" s="9" t="s">
        <v>129</v>
      </c>
      <c r="H2" s="11">
        <v>45658</v>
      </c>
      <c r="I2" s="11">
        <v>45664</v>
      </c>
      <c r="J2" s="1" t="s">
        <v>27</v>
      </c>
      <c r="K2" s="1"/>
    </row>
    <row r="3" spans="1:12" x14ac:dyDescent="0.45">
      <c r="A3" s="1" t="s">
        <v>28</v>
      </c>
      <c r="B3" s="1" t="s">
        <v>29</v>
      </c>
      <c r="C3" s="1" t="s">
        <v>30</v>
      </c>
      <c r="D3" s="9" t="s">
        <v>26</v>
      </c>
      <c r="E3" s="9"/>
      <c r="F3" s="9"/>
      <c r="G3" s="9" t="s">
        <v>129</v>
      </c>
      <c r="H3" s="11">
        <v>45665</v>
      </c>
      <c r="I3" s="11">
        <v>45669</v>
      </c>
      <c r="J3" s="1" t="s">
        <v>27</v>
      </c>
      <c r="K3" s="1"/>
    </row>
    <row r="4" spans="1:12" x14ac:dyDescent="0.45">
      <c r="A4" s="1" t="s">
        <v>31</v>
      </c>
      <c r="B4" s="1" t="s">
        <v>32</v>
      </c>
      <c r="C4" s="1" t="s">
        <v>33</v>
      </c>
      <c r="D4" s="9" t="s">
        <v>34</v>
      </c>
      <c r="E4" s="9"/>
      <c r="F4" s="9"/>
      <c r="G4" s="9"/>
      <c r="H4" s="11">
        <v>45670</v>
      </c>
      <c r="I4" s="11">
        <v>45682</v>
      </c>
      <c r="J4" s="1" t="s">
        <v>27</v>
      </c>
      <c r="K4" s="1"/>
      <c r="L4" s="3"/>
    </row>
    <row r="5" spans="1:12" x14ac:dyDescent="0.45">
      <c r="A5" s="1" t="s">
        <v>35</v>
      </c>
      <c r="B5" s="1" t="s">
        <v>36</v>
      </c>
      <c r="C5" s="1" t="s">
        <v>37</v>
      </c>
      <c r="D5" s="9" t="s">
        <v>34</v>
      </c>
      <c r="E5" s="9"/>
      <c r="F5" s="9"/>
      <c r="G5" s="9"/>
      <c r="H5" s="11">
        <v>45683</v>
      </c>
      <c r="I5" s="11">
        <v>45703</v>
      </c>
      <c r="J5" s="1" t="s">
        <v>12</v>
      </c>
      <c r="K5" s="1"/>
    </row>
    <row r="6" spans="1:12" x14ac:dyDescent="0.45">
      <c r="A6" s="1" t="s">
        <v>38</v>
      </c>
      <c r="B6" s="1" t="s">
        <v>39</v>
      </c>
      <c r="C6" s="1" t="s">
        <v>40</v>
      </c>
      <c r="D6" s="9" t="s">
        <v>34</v>
      </c>
      <c r="E6" s="9"/>
      <c r="F6" s="9"/>
      <c r="G6" s="9"/>
      <c r="H6" s="11">
        <v>45689</v>
      </c>
      <c r="I6" s="11">
        <v>45716</v>
      </c>
      <c r="J6" s="1" t="s">
        <v>12</v>
      </c>
      <c r="K6" s="1"/>
    </row>
    <row r="7" spans="1:12" x14ac:dyDescent="0.45">
      <c r="A7" s="1" t="s">
        <v>41</v>
      </c>
      <c r="B7" s="1" t="s">
        <v>42</v>
      </c>
      <c r="C7" s="1" t="s">
        <v>43</v>
      </c>
      <c r="D7" s="9" t="s">
        <v>26</v>
      </c>
      <c r="E7" s="9"/>
      <c r="F7" s="9"/>
      <c r="G7" s="9" t="s">
        <v>130</v>
      </c>
      <c r="H7" s="11">
        <v>45717</v>
      </c>
      <c r="I7" s="11">
        <v>45731</v>
      </c>
      <c r="J7" s="1" t="s">
        <v>44</v>
      </c>
      <c r="K7" s="1"/>
    </row>
    <row r="8" spans="1:12" x14ac:dyDescent="0.45">
      <c r="A8" s="1" t="s">
        <v>45</v>
      </c>
      <c r="B8" s="1" t="s">
        <v>46</v>
      </c>
      <c r="C8" s="1" t="s">
        <v>47</v>
      </c>
      <c r="D8" s="9" t="s">
        <v>95</v>
      </c>
      <c r="E8" s="9"/>
      <c r="F8" s="9"/>
      <c r="G8" s="9"/>
      <c r="H8" s="11">
        <v>45736</v>
      </c>
      <c r="I8" s="11">
        <v>45741</v>
      </c>
      <c r="J8" s="1" t="s">
        <v>44</v>
      </c>
      <c r="K8" s="1"/>
    </row>
    <row r="9" spans="1:12" x14ac:dyDescent="0.45">
      <c r="A9" t="s">
        <v>96</v>
      </c>
      <c r="B9" t="s">
        <v>97</v>
      </c>
      <c r="C9" t="s">
        <v>98</v>
      </c>
      <c r="D9" s="10" t="s">
        <v>34</v>
      </c>
      <c r="E9" s="10"/>
      <c r="F9" s="10"/>
      <c r="G9" s="10"/>
      <c r="H9" s="12">
        <v>45698</v>
      </c>
      <c r="I9" s="12">
        <v>45721</v>
      </c>
      <c r="J9" s="1" t="s">
        <v>12</v>
      </c>
    </row>
    <row r="10" spans="1:12" x14ac:dyDescent="0.45">
      <c r="A10" t="s">
        <v>99</v>
      </c>
      <c r="B10" t="s">
        <v>100</v>
      </c>
      <c r="C10" t="s">
        <v>101</v>
      </c>
      <c r="D10" t="s">
        <v>34</v>
      </c>
      <c r="G10" t="s">
        <v>132</v>
      </c>
      <c r="H10" s="12">
        <v>45700</v>
      </c>
      <c r="I10" s="12">
        <v>45716</v>
      </c>
      <c r="J10" s="1" t="s">
        <v>12</v>
      </c>
    </row>
    <row r="11" spans="1:12" x14ac:dyDescent="0.45">
      <c r="A11" t="s">
        <v>102</v>
      </c>
      <c r="B11" t="s">
        <v>103</v>
      </c>
      <c r="C11" t="s">
        <v>104</v>
      </c>
      <c r="D11" t="s">
        <v>34</v>
      </c>
      <c r="H11" s="12">
        <v>45721</v>
      </c>
      <c r="I11" s="12">
        <v>45728</v>
      </c>
      <c r="J11" s="1" t="s">
        <v>126</v>
      </c>
    </row>
    <row r="12" spans="1:12" x14ac:dyDescent="0.45">
      <c r="A12" t="s">
        <v>105</v>
      </c>
      <c r="B12" t="s">
        <v>106</v>
      </c>
      <c r="C12" t="s">
        <v>107</v>
      </c>
      <c r="D12" s="9" t="s">
        <v>42</v>
      </c>
      <c r="E12" s="9"/>
      <c r="F12" s="9"/>
      <c r="G12" s="9"/>
      <c r="H12" s="12">
        <v>45726</v>
      </c>
      <c r="I12" s="12">
        <v>45734</v>
      </c>
      <c r="J12" s="1" t="s">
        <v>44</v>
      </c>
    </row>
    <row r="13" spans="1:12" x14ac:dyDescent="0.45">
      <c r="A13" t="s">
        <v>108</v>
      </c>
      <c r="B13" t="s">
        <v>109</v>
      </c>
      <c r="C13" t="s">
        <v>110</v>
      </c>
      <c r="D13" s="9" t="s">
        <v>42</v>
      </c>
      <c r="E13" s="9"/>
      <c r="F13" s="9"/>
      <c r="G13" s="9" t="s">
        <v>131</v>
      </c>
      <c r="H13" s="12">
        <v>45728</v>
      </c>
      <c r="I13" s="12">
        <v>45736</v>
      </c>
      <c r="J13" s="1" t="s">
        <v>44</v>
      </c>
    </row>
    <row r="14" spans="1:12" x14ac:dyDescent="0.45">
      <c r="A14" t="s">
        <v>111</v>
      </c>
      <c r="B14" t="s">
        <v>112</v>
      </c>
      <c r="C14" t="s">
        <v>113</v>
      </c>
      <c r="D14" s="9" t="s">
        <v>42</v>
      </c>
      <c r="E14" s="9"/>
      <c r="F14" s="9"/>
      <c r="G14" s="9"/>
      <c r="H14" s="12">
        <v>45734</v>
      </c>
      <c r="I14" s="12">
        <v>45738</v>
      </c>
      <c r="J14" s="1" t="s">
        <v>126</v>
      </c>
    </row>
    <row r="15" spans="1:12" x14ac:dyDescent="0.45">
      <c r="A15" t="s">
        <v>114</v>
      </c>
      <c r="B15" t="s">
        <v>115</v>
      </c>
      <c r="C15" t="s">
        <v>116</v>
      </c>
      <c r="D15" t="s">
        <v>34</v>
      </c>
      <c r="H15" s="12">
        <v>45736</v>
      </c>
      <c r="I15" s="12">
        <v>45743</v>
      </c>
      <c r="J15" s="1" t="s">
        <v>44</v>
      </c>
    </row>
    <row r="16" spans="1:12" x14ac:dyDescent="0.45">
      <c r="A16" t="s">
        <v>117</v>
      </c>
      <c r="B16" t="s">
        <v>118</v>
      </c>
      <c r="C16" t="s">
        <v>119</v>
      </c>
      <c r="D16" t="s">
        <v>42</v>
      </c>
      <c r="H16" s="12">
        <v>45738</v>
      </c>
      <c r="I16" s="12">
        <v>45744</v>
      </c>
      <c r="J16" s="1" t="s">
        <v>44</v>
      </c>
    </row>
    <row r="17" spans="1:20" x14ac:dyDescent="0.45">
      <c r="A17" t="s">
        <v>120</v>
      </c>
      <c r="B17" t="s">
        <v>121</v>
      </c>
      <c r="C17" t="s">
        <v>122</v>
      </c>
      <c r="D17" s="9" t="s">
        <v>95</v>
      </c>
      <c r="E17" s="9"/>
      <c r="F17" s="9"/>
      <c r="G17" s="9"/>
      <c r="H17" s="12">
        <v>45741</v>
      </c>
      <c r="I17" s="12">
        <v>45744</v>
      </c>
      <c r="J17" s="1" t="s">
        <v>44</v>
      </c>
    </row>
    <row r="18" spans="1:20" x14ac:dyDescent="0.45">
      <c r="A18" t="s">
        <v>123</v>
      </c>
      <c r="B18" t="s">
        <v>124</v>
      </c>
      <c r="C18" t="s">
        <v>125</v>
      </c>
      <c r="D18" s="9" t="s">
        <v>95</v>
      </c>
      <c r="E18" s="9"/>
      <c r="F18" s="9"/>
      <c r="G18" s="9"/>
      <c r="H18" s="12">
        <v>45744</v>
      </c>
      <c r="I18" s="12">
        <v>45747</v>
      </c>
      <c r="J18" s="1" t="s">
        <v>44</v>
      </c>
    </row>
    <row r="20" spans="1:20" x14ac:dyDescent="0.45">
      <c r="A20" s="34" t="s">
        <v>163</v>
      </c>
      <c r="B20" s="35"/>
      <c r="C20" s="35"/>
      <c r="D20" s="35"/>
      <c r="E20" s="35"/>
      <c r="F20" s="35"/>
      <c r="G20" s="35"/>
      <c r="H20" s="35"/>
      <c r="I20" s="35"/>
      <c r="J20" s="35"/>
    </row>
    <row r="21" spans="1:20" x14ac:dyDescent="0.45">
      <c r="A21" s="17"/>
      <c r="B21" s="13"/>
      <c r="C21" s="13"/>
      <c r="D21" s="13"/>
      <c r="E21" s="13"/>
      <c r="F21" s="13"/>
      <c r="G21" s="13"/>
      <c r="J21" s="13"/>
    </row>
    <row r="22" spans="1:20" x14ac:dyDescent="0.45">
      <c r="A22" s="13"/>
      <c r="B22" s="13"/>
      <c r="C22" s="13"/>
      <c r="D22" s="13"/>
      <c r="E22" s="13"/>
      <c r="F22" s="13"/>
      <c r="G22" s="36" t="s">
        <v>164</v>
      </c>
      <c r="H22" s="36"/>
      <c r="I22" s="36"/>
      <c r="J22" s="36"/>
      <c r="K22" s="36"/>
      <c r="L22" s="36" t="s">
        <v>165</v>
      </c>
      <c r="M22" s="36"/>
      <c r="N22" s="36"/>
      <c r="O22" s="36"/>
      <c r="P22" s="36" t="s">
        <v>166</v>
      </c>
      <c r="Q22" s="36"/>
      <c r="R22" s="36"/>
      <c r="S22" s="36"/>
      <c r="T22" s="36"/>
    </row>
    <row r="23" spans="1:20" x14ac:dyDescent="0.45">
      <c r="A23" s="4" t="s">
        <v>16</v>
      </c>
      <c r="B23" s="4" t="s">
        <v>17</v>
      </c>
      <c r="C23" s="4" t="s">
        <v>20</v>
      </c>
      <c r="D23" s="4" t="s">
        <v>21</v>
      </c>
      <c r="E23" s="4" t="s">
        <v>167</v>
      </c>
      <c r="F23" s="4" t="s">
        <v>168</v>
      </c>
      <c r="G23" s="25">
        <v>45658</v>
      </c>
      <c r="H23" s="26">
        <v>45665</v>
      </c>
      <c r="I23" s="26">
        <v>45672</v>
      </c>
      <c r="J23" s="25">
        <v>45679</v>
      </c>
      <c r="K23" s="26">
        <v>45686</v>
      </c>
      <c r="L23" s="26">
        <v>45693</v>
      </c>
      <c r="M23" s="25">
        <v>45700</v>
      </c>
      <c r="N23" s="26">
        <v>45707</v>
      </c>
      <c r="O23" s="26">
        <v>45714</v>
      </c>
      <c r="P23" s="25">
        <v>45721</v>
      </c>
      <c r="Q23" s="26">
        <v>45728</v>
      </c>
      <c r="R23" s="26">
        <v>45735</v>
      </c>
      <c r="S23" s="25">
        <v>45742</v>
      </c>
      <c r="T23" s="26">
        <v>45749</v>
      </c>
    </row>
    <row r="24" spans="1:20" x14ac:dyDescent="0.45">
      <c r="A24" s="1" t="s">
        <v>23</v>
      </c>
      <c r="B24" s="1" t="s">
        <v>24</v>
      </c>
      <c r="C24" s="11">
        <v>45658</v>
      </c>
      <c r="D24" s="11">
        <v>45663</v>
      </c>
      <c r="E24" s="14">
        <f>(D24-C24)</f>
        <v>5</v>
      </c>
      <c r="F24" s="29">
        <v>0.9</v>
      </c>
      <c r="G24" s="30"/>
      <c r="T24" s="19"/>
    </row>
    <row r="25" spans="1:20" x14ac:dyDescent="0.45">
      <c r="A25" s="1" t="s">
        <v>28</v>
      </c>
      <c r="B25" s="1" t="s">
        <v>29</v>
      </c>
      <c r="C25" s="11">
        <v>45665</v>
      </c>
      <c r="D25" s="11">
        <v>45669</v>
      </c>
      <c r="E25" s="14">
        <f t="shared" ref="E25:E40" si="0">(D25-C25)</f>
        <v>4</v>
      </c>
      <c r="F25" s="29">
        <v>0.9</v>
      </c>
      <c r="G25" s="18"/>
      <c r="T25" s="19"/>
    </row>
    <row r="26" spans="1:20" x14ac:dyDescent="0.45">
      <c r="A26" s="1" t="s">
        <v>31</v>
      </c>
      <c r="B26" s="1" t="s">
        <v>32</v>
      </c>
      <c r="C26" s="11">
        <v>45670</v>
      </c>
      <c r="D26" s="11">
        <v>45682</v>
      </c>
      <c r="E26" s="14">
        <f t="shared" si="0"/>
        <v>12</v>
      </c>
      <c r="F26" s="29">
        <v>0.3</v>
      </c>
      <c r="G26" s="18"/>
      <c r="T26" s="19"/>
    </row>
    <row r="27" spans="1:20" x14ac:dyDescent="0.45">
      <c r="A27" s="1" t="s">
        <v>35</v>
      </c>
      <c r="B27" s="1" t="s">
        <v>36</v>
      </c>
      <c r="C27" s="11">
        <v>45683</v>
      </c>
      <c r="D27" s="11">
        <v>45703</v>
      </c>
      <c r="E27" s="14">
        <f t="shared" si="0"/>
        <v>20</v>
      </c>
      <c r="F27" s="29">
        <v>0.9</v>
      </c>
      <c r="G27" s="18"/>
      <c r="T27" s="19"/>
    </row>
    <row r="28" spans="1:20" x14ac:dyDescent="0.45">
      <c r="A28" s="1" t="s">
        <v>38</v>
      </c>
      <c r="B28" s="1" t="s">
        <v>39</v>
      </c>
      <c r="C28" s="11">
        <v>45689</v>
      </c>
      <c r="D28" s="11">
        <v>45716</v>
      </c>
      <c r="E28" s="14">
        <f t="shared" si="0"/>
        <v>27</v>
      </c>
      <c r="F28" s="29">
        <v>0.27</v>
      </c>
      <c r="G28" s="18"/>
      <c r="T28" s="19"/>
    </row>
    <row r="29" spans="1:20" x14ac:dyDescent="0.45">
      <c r="A29" s="1" t="s">
        <v>41</v>
      </c>
      <c r="B29" s="1" t="s">
        <v>42</v>
      </c>
      <c r="C29" s="11">
        <v>45717</v>
      </c>
      <c r="D29" s="11">
        <v>45731</v>
      </c>
      <c r="E29" s="14">
        <f t="shared" si="0"/>
        <v>14</v>
      </c>
      <c r="F29" s="29">
        <v>0.13</v>
      </c>
      <c r="G29" s="18"/>
      <c r="T29" s="19"/>
    </row>
    <row r="30" spans="1:20" x14ac:dyDescent="0.45">
      <c r="A30" s="1" t="s">
        <v>45</v>
      </c>
      <c r="B30" s="1" t="s">
        <v>46</v>
      </c>
      <c r="C30" s="11">
        <v>45736</v>
      </c>
      <c r="D30" s="11">
        <v>45741</v>
      </c>
      <c r="E30" s="14">
        <f t="shared" si="0"/>
        <v>5</v>
      </c>
      <c r="F30" s="29">
        <v>0.6</v>
      </c>
      <c r="G30" s="20"/>
      <c r="T30" s="19"/>
    </row>
    <row r="31" spans="1:20" x14ac:dyDescent="0.45">
      <c r="A31" t="s">
        <v>96</v>
      </c>
      <c r="B31" t="s">
        <v>97</v>
      </c>
      <c r="C31" s="12">
        <v>45698</v>
      </c>
      <c r="D31" s="12">
        <v>45721</v>
      </c>
      <c r="E31" s="14">
        <f t="shared" si="0"/>
        <v>23</v>
      </c>
      <c r="F31" s="29">
        <v>0.5</v>
      </c>
      <c r="G31" s="18"/>
      <c r="T31" s="19"/>
    </row>
    <row r="32" spans="1:20" x14ac:dyDescent="0.45">
      <c r="A32" t="s">
        <v>99</v>
      </c>
      <c r="B32" t="s">
        <v>100</v>
      </c>
      <c r="C32" s="12">
        <v>45700</v>
      </c>
      <c r="D32" s="12">
        <v>45716</v>
      </c>
      <c r="E32" s="14">
        <f t="shared" si="0"/>
        <v>16</v>
      </c>
      <c r="F32" s="29">
        <v>0.1</v>
      </c>
      <c r="G32" s="18"/>
      <c r="T32" s="19"/>
    </row>
    <row r="33" spans="1:20" x14ac:dyDescent="0.45">
      <c r="A33" t="s">
        <v>102</v>
      </c>
      <c r="B33" t="s">
        <v>103</v>
      </c>
      <c r="C33" s="12">
        <v>45721</v>
      </c>
      <c r="D33" s="12">
        <v>45728</v>
      </c>
      <c r="E33" s="14">
        <f t="shared" si="0"/>
        <v>7</v>
      </c>
      <c r="F33" s="29">
        <v>0.55000000000000004</v>
      </c>
      <c r="G33" s="18"/>
      <c r="T33" s="19"/>
    </row>
    <row r="34" spans="1:20" x14ac:dyDescent="0.45">
      <c r="A34" t="s">
        <v>105</v>
      </c>
      <c r="B34" t="s">
        <v>106</v>
      </c>
      <c r="C34" s="12">
        <v>45726</v>
      </c>
      <c r="D34" s="12">
        <v>45734</v>
      </c>
      <c r="E34" s="14">
        <f t="shared" si="0"/>
        <v>8</v>
      </c>
      <c r="F34" s="29">
        <v>0.45</v>
      </c>
      <c r="G34" s="18"/>
      <c r="T34" s="19"/>
    </row>
    <row r="35" spans="1:20" x14ac:dyDescent="0.45">
      <c r="A35" t="s">
        <v>108</v>
      </c>
      <c r="B35" t="s">
        <v>109</v>
      </c>
      <c r="C35" s="12">
        <v>45728</v>
      </c>
      <c r="D35" s="12">
        <v>45736</v>
      </c>
      <c r="E35" s="14">
        <f t="shared" si="0"/>
        <v>8</v>
      </c>
      <c r="F35" s="29">
        <v>0.5</v>
      </c>
      <c r="G35" s="18"/>
      <c r="T35" s="19"/>
    </row>
    <row r="36" spans="1:20" x14ac:dyDescent="0.45">
      <c r="A36" t="s">
        <v>111</v>
      </c>
      <c r="B36" t="s">
        <v>112</v>
      </c>
      <c r="C36" s="12">
        <v>45734</v>
      </c>
      <c r="D36" s="12">
        <v>45738</v>
      </c>
      <c r="E36" s="14">
        <f t="shared" si="0"/>
        <v>4</v>
      </c>
      <c r="F36" s="29">
        <v>0.7</v>
      </c>
      <c r="G36" s="18"/>
      <c r="T36" s="19"/>
    </row>
    <row r="37" spans="1:20" x14ac:dyDescent="0.45">
      <c r="A37" t="s">
        <v>114</v>
      </c>
      <c r="B37" t="s">
        <v>115</v>
      </c>
      <c r="C37" s="12">
        <v>45736</v>
      </c>
      <c r="D37" s="12">
        <v>45743</v>
      </c>
      <c r="E37" s="14">
        <f t="shared" si="0"/>
        <v>7</v>
      </c>
      <c r="F37" s="29">
        <v>0.35</v>
      </c>
      <c r="G37" s="18"/>
      <c r="T37" s="19"/>
    </row>
    <row r="38" spans="1:20" x14ac:dyDescent="0.45">
      <c r="A38" t="s">
        <v>117</v>
      </c>
      <c r="B38" t="s">
        <v>118</v>
      </c>
      <c r="C38" s="12">
        <v>45738</v>
      </c>
      <c r="D38" s="12">
        <v>45744</v>
      </c>
      <c r="E38" s="14">
        <f t="shared" si="0"/>
        <v>6</v>
      </c>
      <c r="F38" s="29">
        <v>0.3</v>
      </c>
      <c r="G38" s="18"/>
      <c r="T38" s="19"/>
    </row>
    <row r="39" spans="1:20" x14ac:dyDescent="0.45">
      <c r="A39" t="s">
        <v>120</v>
      </c>
      <c r="B39" t="s">
        <v>121</v>
      </c>
      <c r="C39" s="12">
        <v>45741</v>
      </c>
      <c r="D39" s="12">
        <v>45744</v>
      </c>
      <c r="E39" s="14">
        <f t="shared" si="0"/>
        <v>3</v>
      </c>
      <c r="F39" s="29">
        <v>0.2</v>
      </c>
      <c r="G39" s="18"/>
      <c r="T39" s="19"/>
    </row>
    <row r="40" spans="1:20" x14ac:dyDescent="0.45">
      <c r="A40" t="s">
        <v>123</v>
      </c>
      <c r="B40" t="s">
        <v>124</v>
      </c>
      <c r="C40" s="12">
        <v>45744</v>
      </c>
      <c r="D40" s="12">
        <v>45747</v>
      </c>
      <c r="E40" s="14">
        <f t="shared" si="0"/>
        <v>3</v>
      </c>
      <c r="F40" s="29">
        <v>0.1</v>
      </c>
      <c r="G40" s="21"/>
      <c r="H40" s="22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2" spans="1:20" x14ac:dyDescent="0.45">
      <c r="H42" s="31"/>
      <c r="I42" s="32"/>
    </row>
    <row r="43" spans="1:20" x14ac:dyDescent="0.45">
      <c r="H43" t="s">
        <v>169</v>
      </c>
      <c r="I43" t="s">
        <v>167</v>
      </c>
    </row>
    <row r="44" spans="1:20" x14ac:dyDescent="0.45">
      <c r="H44"/>
      <c r="I44"/>
    </row>
    <row r="45" spans="1:20" x14ac:dyDescent="0.45">
      <c r="H45"/>
      <c r="I45"/>
    </row>
    <row r="46" spans="1:20" x14ac:dyDescent="0.45">
      <c r="H46"/>
      <c r="I46"/>
    </row>
    <row r="47" spans="1:20" x14ac:dyDescent="0.45">
      <c r="H47"/>
      <c r="I47"/>
    </row>
    <row r="48" spans="1:20" x14ac:dyDescent="0.45">
      <c r="H48"/>
      <c r="I48"/>
    </row>
    <row r="49" spans="8:9" x14ac:dyDescent="0.45">
      <c r="H49"/>
      <c r="I49"/>
    </row>
    <row r="50" spans="8:9" x14ac:dyDescent="0.45">
      <c r="H50"/>
      <c r="I50"/>
    </row>
    <row r="51" spans="8:9" x14ac:dyDescent="0.45">
      <c r="H51"/>
      <c r="I51"/>
    </row>
    <row r="52" spans="8:9" x14ac:dyDescent="0.45">
      <c r="H52"/>
      <c r="I52"/>
    </row>
    <row r="53" spans="8:9" x14ac:dyDescent="0.45">
      <c r="H53"/>
      <c r="I53"/>
    </row>
    <row r="54" spans="8:9" x14ac:dyDescent="0.45">
      <c r="H54"/>
      <c r="I54"/>
    </row>
    <row r="55" spans="8:9" x14ac:dyDescent="0.45">
      <c r="H55"/>
      <c r="I55"/>
    </row>
    <row r="56" spans="8:9" x14ac:dyDescent="0.45">
      <c r="H56"/>
      <c r="I56"/>
    </row>
    <row r="57" spans="8:9" x14ac:dyDescent="0.45">
      <c r="H57"/>
      <c r="I57"/>
    </row>
    <row r="58" spans="8:9" x14ac:dyDescent="0.45">
      <c r="H58"/>
      <c r="I58"/>
    </row>
    <row r="59" spans="8:9" x14ac:dyDescent="0.45">
      <c r="H59"/>
      <c r="I59"/>
    </row>
    <row r="60" spans="8:9" x14ac:dyDescent="0.45">
      <c r="H60"/>
      <c r="I60"/>
    </row>
    <row r="61" spans="8:9" x14ac:dyDescent="0.45">
      <c r="H61"/>
      <c r="I61"/>
    </row>
    <row r="62" spans="8:9" x14ac:dyDescent="0.45">
      <c r="H62"/>
      <c r="I62"/>
    </row>
    <row r="63" spans="8:9" x14ac:dyDescent="0.45">
      <c r="H63"/>
      <c r="I63"/>
    </row>
    <row r="64" spans="8:9" x14ac:dyDescent="0.45">
      <c r="H64"/>
      <c r="I64"/>
    </row>
    <row r="65" spans="8:11" x14ac:dyDescent="0.45">
      <c r="H65"/>
      <c r="I65"/>
    </row>
    <row r="66" spans="8:11" x14ac:dyDescent="0.45">
      <c r="H66" s="27"/>
      <c r="I66" s="27"/>
      <c r="J66" s="28"/>
      <c r="K66" s="29"/>
    </row>
    <row r="67" spans="8:11" x14ac:dyDescent="0.45">
      <c r="H67" s="27"/>
      <c r="I67" s="27"/>
      <c r="J67" s="28"/>
      <c r="K67" s="29"/>
    </row>
    <row r="68" spans="8:11" x14ac:dyDescent="0.45">
      <c r="H68" s="27"/>
      <c r="I68" s="27"/>
      <c r="J68" s="28"/>
      <c r="K68" s="29"/>
    </row>
    <row r="69" spans="8:11" x14ac:dyDescent="0.45">
      <c r="H69" s="27"/>
      <c r="I69" s="27"/>
      <c r="J69" s="28"/>
      <c r="K69" s="29"/>
    </row>
    <row r="70" spans="8:11" x14ac:dyDescent="0.45">
      <c r="H70" s="27"/>
      <c r="I70" s="27"/>
      <c r="J70" s="28"/>
      <c r="K70" s="29"/>
    </row>
  </sheetData>
  <mergeCells count="4">
    <mergeCell ref="A20:J20"/>
    <mergeCell ref="G22:K22"/>
    <mergeCell ref="L22:O22"/>
    <mergeCell ref="P22:T22"/>
  </mergeCells>
  <conditionalFormatting sqref="D1:G19 D41:G42 D66:G1048576">
    <cfRule type="cellIs" dxfId="60" priority="11" operator="equal">
      <formula>"Testing"</formula>
    </cfRule>
    <cfRule type="cellIs" dxfId="59" priority="18" operator="equal">
      <formula>"Execution"</formula>
    </cfRule>
    <cfRule type="cellIs" dxfId="58" priority="19" operator="equal">
      <formula>"Planning"</formula>
    </cfRule>
  </conditionalFormatting>
  <conditionalFormatting sqref="D7:G9">
    <cfRule type="cellIs" dxfId="57" priority="16" operator="equal">
      <formula>"Close"</formula>
    </cfRule>
    <cfRule type="cellIs" dxfId="56" priority="17" operator="equal">
      <formula>"Testing"</formula>
    </cfRule>
  </conditionalFormatting>
  <conditionalFormatting sqref="D12:G14">
    <cfRule type="cellIs" dxfId="55" priority="9" operator="equal">
      <formula>"Close"</formula>
    </cfRule>
  </conditionalFormatting>
  <conditionalFormatting sqref="D17:G18">
    <cfRule type="cellIs" dxfId="54" priority="12" operator="equal">
      <formula>"Close"</formula>
    </cfRule>
    <cfRule type="cellIs" dxfId="53" priority="13" operator="equal">
      <formula>"Testing"</formula>
    </cfRule>
  </conditionalFormatting>
  <conditionalFormatting sqref="F24:F40">
    <cfRule type="dataBar" priority="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{C48D6720-6FE1-4955-B125-0E88D525A9B8}</x14:id>
        </ext>
      </extLst>
    </cfRule>
  </conditionalFormatting>
  <conditionalFormatting sqref="G24:T40">
    <cfRule type="expression" dxfId="52" priority="4">
      <formula>AND(G$23&gt;=$C24,G$23&lt;=$C24+($E24*$F24)-1)</formula>
    </cfRule>
    <cfRule type="expression" dxfId="51" priority="6" stopIfTrue="1">
      <formula>AND(G$23&gt;=$C24,G$23&lt;=$D24)</formula>
    </cfRule>
  </conditionalFormatting>
  <conditionalFormatting sqref="J2:J18">
    <cfRule type="cellIs" dxfId="50" priority="20" operator="equal">
      <formula>"Completed"</formula>
    </cfRule>
    <cfRule type="cellIs" dxfId="49" priority="21" operator="equal">
      <formula>"In Progress"</formula>
    </cfRule>
    <cfRule type="cellIs" dxfId="48" priority="22" operator="equal">
      <formula>"Completed"</formula>
    </cfRule>
    <cfRule type="cellIs" dxfId="47" priority="25" stopIfTrue="1" operator="equal">
      <formula>"In Progress"</formula>
    </cfRule>
    <cfRule type="cellIs" dxfId="46" priority="26" stopIfTrue="1" operator="equal">
      <formula>"Completed"</formula>
    </cfRule>
    <cfRule type="cellIs" dxfId="45" priority="27" operator="equal">
      <formula>"Completed"</formula>
    </cfRule>
    <cfRule type="cellIs" priority="28" operator="equal">
      <formula>"Completed"</formula>
    </cfRule>
  </conditionalFormatting>
  <conditionalFormatting sqref="J7:J8">
    <cfRule type="cellIs" dxfId="44" priority="23" stopIfTrue="1" operator="equal">
      <formula>"Not Started"</formula>
    </cfRule>
  </conditionalFormatting>
  <conditionalFormatting sqref="J11:J18">
    <cfRule type="cellIs" dxfId="43" priority="14" stopIfTrue="1" operator="equal">
      <formula>"Not Started"</formula>
    </cfRule>
  </conditionalFormatting>
  <conditionalFormatting sqref="K2:K8">
    <cfRule type="cellIs" dxfId="42" priority="29" operator="equal">
      <formula>"Completed"</formula>
    </cfRule>
    <cfRule type="cellIs" dxfId="41" priority="30" operator="equal">
      <formula>"In Progress"</formula>
    </cfRule>
    <cfRule type="cellIs" dxfId="40" priority="31" operator="equal">
      <formula>"Completed"</formula>
    </cfRule>
    <cfRule type="cellIs" dxfId="39" priority="34" stopIfTrue="1" operator="equal">
      <formula>"In Progress"</formula>
    </cfRule>
    <cfRule type="cellIs" dxfId="38" priority="35" stopIfTrue="1" operator="equal">
      <formula>"Completed"</formula>
    </cfRule>
    <cfRule type="cellIs" dxfId="37" priority="36" operator="equal">
      <formula>"Completed"</formula>
    </cfRule>
    <cfRule type="cellIs" priority="37" operator="equal">
      <formula>"Completed"</formula>
    </cfRule>
  </conditionalFormatting>
  <conditionalFormatting sqref="K7:K8">
    <cfRule type="cellIs" dxfId="36" priority="32" stopIfTrue="1" operator="equal">
      <formula>"Not Started"</formula>
    </cfRule>
  </conditionalFormatting>
  <dataValidations count="3">
    <dataValidation type="list" allowBlank="1" showInputMessage="1" showErrorMessage="1" sqref="J2:K8 J9:J18" xr:uid="{740FEC7F-A899-4BED-903A-90F385F50650}">
      <formula1>"Completed, Inprogress, Not started"</formula1>
    </dataValidation>
    <dataValidation type="list" allowBlank="1" showInputMessage="1" showErrorMessage="1" sqref="D17:F18 D12:F14 D2:F8" xr:uid="{57FEA2D4-8B82-4686-A223-77B4BCE07695}">
      <formula1>"Planning, Execution, Testing, Close"</formula1>
    </dataValidation>
    <dataValidation type="list" allowBlank="1" showInputMessage="1" showErrorMessage="1" sqref="G1:G19 G66:G1048576" xr:uid="{F3CEBC12-1AFF-4FFE-9DEA-5DADCCAD2D44}">
      <formula1>"Action, Issue, Risk, Decision, Dependency"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8D6720-6FE1-4955-B125-0E88D525A9B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F24:F40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F555-11D0-4315-B889-323475E4118A}">
  <dimension ref="A1:H19"/>
  <sheetViews>
    <sheetView zoomScale="83" workbookViewId="0">
      <selection activeCell="G17" sqref="G17"/>
    </sheetView>
  </sheetViews>
  <sheetFormatPr defaultRowHeight="14.25" x14ac:dyDescent="0.45"/>
  <cols>
    <col min="2" max="2" width="25.53125" customWidth="1"/>
    <col min="3" max="3" width="19.6640625" customWidth="1"/>
    <col min="4" max="4" width="18.73046875" style="13" customWidth="1"/>
    <col min="5" max="5" width="16.06640625" style="13" customWidth="1"/>
    <col min="6" max="6" width="13" style="13" customWidth="1"/>
    <col min="7" max="7" width="13.796875" customWidth="1"/>
    <col min="8" max="8" width="29.796875" customWidth="1"/>
  </cols>
  <sheetData>
    <row r="1" spans="1:8" x14ac:dyDescent="0.45">
      <c r="A1" s="4" t="s">
        <v>16</v>
      </c>
      <c r="B1" s="4" t="s">
        <v>17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22</v>
      </c>
      <c r="H1" s="4" t="s">
        <v>76</v>
      </c>
    </row>
    <row r="2" spans="1:8" x14ac:dyDescent="0.45">
      <c r="A2" s="1" t="s">
        <v>23</v>
      </c>
      <c r="B2" s="1" t="s">
        <v>24</v>
      </c>
      <c r="C2" s="1" t="s">
        <v>54</v>
      </c>
      <c r="D2" s="11">
        <v>45658</v>
      </c>
      <c r="E2" s="14" t="s">
        <v>77</v>
      </c>
      <c r="F2" s="16">
        <v>1</v>
      </c>
      <c r="G2" s="1" t="s">
        <v>27</v>
      </c>
      <c r="H2" s="1" t="s">
        <v>78</v>
      </c>
    </row>
    <row r="3" spans="1:8" x14ac:dyDescent="0.45">
      <c r="A3" s="1" t="s">
        <v>28</v>
      </c>
      <c r="B3" s="1" t="s">
        <v>29</v>
      </c>
      <c r="C3" s="1" t="s">
        <v>54</v>
      </c>
      <c r="D3" s="11">
        <v>45665</v>
      </c>
      <c r="E3" s="14" t="s">
        <v>79</v>
      </c>
      <c r="F3" s="16">
        <v>1</v>
      </c>
      <c r="G3" s="1" t="s">
        <v>27</v>
      </c>
      <c r="H3" s="1" t="s">
        <v>80</v>
      </c>
    </row>
    <row r="4" spans="1:8" x14ac:dyDescent="0.45">
      <c r="A4" s="1" t="s">
        <v>31</v>
      </c>
      <c r="B4" s="1" t="s">
        <v>32</v>
      </c>
      <c r="C4" s="1" t="s">
        <v>58</v>
      </c>
      <c r="D4" s="11">
        <v>45670</v>
      </c>
      <c r="E4" s="14" t="s">
        <v>81</v>
      </c>
      <c r="F4" s="16">
        <v>1</v>
      </c>
      <c r="G4" s="1" t="s">
        <v>27</v>
      </c>
      <c r="H4" s="1" t="s">
        <v>82</v>
      </c>
    </row>
    <row r="5" spans="1:8" x14ac:dyDescent="0.45">
      <c r="A5" s="1" t="s">
        <v>35</v>
      </c>
      <c r="B5" s="1" t="s">
        <v>36</v>
      </c>
      <c r="C5" s="1" t="s">
        <v>62</v>
      </c>
      <c r="D5" s="11">
        <v>45683</v>
      </c>
      <c r="E5" s="14" t="s">
        <v>83</v>
      </c>
      <c r="F5" s="16">
        <v>0.7</v>
      </c>
      <c r="G5" s="1" t="s">
        <v>12</v>
      </c>
      <c r="H5" s="1" t="s">
        <v>84</v>
      </c>
    </row>
    <row r="6" spans="1:8" x14ac:dyDescent="0.45">
      <c r="A6" s="1" t="s">
        <v>38</v>
      </c>
      <c r="B6" s="1" t="s">
        <v>39</v>
      </c>
      <c r="C6" s="1" t="s">
        <v>66</v>
      </c>
      <c r="D6" s="11">
        <v>45689</v>
      </c>
      <c r="E6" s="14" t="s">
        <v>83</v>
      </c>
      <c r="F6" s="16">
        <v>0.6</v>
      </c>
      <c r="G6" s="1" t="s">
        <v>12</v>
      </c>
      <c r="H6" s="1" t="s">
        <v>85</v>
      </c>
    </row>
    <row r="7" spans="1:8" x14ac:dyDescent="0.45">
      <c r="A7" s="1" t="s">
        <v>41</v>
      </c>
      <c r="B7" s="1" t="s">
        <v>42</v>
      </c>
      <c r="C7" s="1" t="s">
        <v>69</v>
      </c>
      <c r="D7" s="11">
        <v>45717</v>
      </c>
      <c r="E7" s="14" t="s">
        <v>86</v>
      </c>
      <c r="F7" s="16">
        <v>0</v>
      </c>
      <c r="G7" s="1" t="s">
        <v>126</v>
      </c>
      <c r="H7" s="1" t="s">
        <v>87</v>
      </c>
    </row>
    <row r="8" spans="1:8" x14ac:dyDescent="0.45">
      <c r="A8" s="1" t="s">
        <v>45</v>
      </c>
      <c r="B8" s="1" t="s">
        <v>46</v>
      </c>
      <c r="C8" s="1" t="s">
        <v>62</v>
      </c>
      <c r="D8" s="11">
        <v>45736</v>
      </c>
      <c r="E8" s="14" t="s">
        <v>88</v>
      </c>
      <c r="F8" s="16">
        <v>0</v>
      </c>
      <c r="G8" s="1" t="s">
        <v>44</v>
      </c>
      <c r="H8" s="1" t="s">
        <v>89</v>
      </c>
    </row>
    <row r="9" spans="1:8" x14ac:dyDescent="0.45">
      <c r="A9" t="s">
        <v>96</v>
      </c>
      <c r="B9" t="s">
        <v>97</v>
      </c>
      <c r="C9" t="s">
        <v>133</v>
      </c>
      <c r="D9" s="12">
        <v>45698</v>
      </c>
      <c r="E9" s="12" t="s">
        <v>141</v>
      </c>
      <c r="F9" s="15">
        <v>0.1</v>
      </c>
      <c r="G9" s="1" t="s">
        <v>12</v>
      </c>
      <c r="H9" s="1" t="s">
        <v>148</v>
      </c>
    </row>
    <row r="10" spans="1:8" x14ac:dyDescent="0.45">
      <c r="A10" t="s">
        <v>99</v>
      </c>
      <c r="B10" t="s">
        <v>100</v>
      </c>
      <c r="C10" t="s">
        <v>134</v>
      </c>
      <c r="D10" s="12">
        <v>45700</v>
      </c>
      <c r="E10" s="12" t="s">
        <v>86</v>
      </c>
      <c r="F10" s="15">
        <v>0.3</v>
      </c>
      <c r="G10" s="1" t="s">
        <v>12</v>
      </c>
      <c r="H10" s="1" t="s">
        <v>149</v>
      </c>
    </row>
    <row r="11" spans="1:8" x14ac:dyDescent="0.45">
      <c r="A11" t="s">
        <v>102</v>
      </c>
      <c r="B11" t="s">
        <v>103</v>
      </c>
      <c r="C11" t="s">
        <v>135</v>
      </c>
      <c r="D11" s="12">
        <v>45721</v>
      </c>
      <c r="E11" s="12" t="s">
        <v>142</v>
      </c>
      <c r="F11" s="15">
        <v>0</v>
      </c>
      <c r="G11" s="1" t="s">
        <v>126</v>
      </c>
      <c r="H11" s="1"/>
    </row>
    <row r="12" spans="1:8" x14ac:dyDescent="0.45">
      <c r="A12" t="s">
        <v>105</v>
      </c>
      <c r="B12" t="s">
        <v>106</v>
      </c>
      <c r="C12" t="s">
        <v>136</v>
      </c>
      <c r="D12" s="12">
        <v>45726</v>
      </c>
      <c r="E12" s="12" t="s">
        <v>88</v>
      </c>
      <c r="F12" s="15">
        <v>0</v>
      </c>
      <c r="G12" s="1" t="s">
        <v>27</v>
      </c>
      <c r="H12" s="1"/>
    </row>
    <row r="13" spans="1:8" x14ac:dyDescent="0.45">
      <c r="A13" t="s">
        <v>108</v>
      </c>
      <c r="B13" t="s">
        <v>109</v>
      </c>
      <c r="C13" t="s">
        <v>136</v>
      </c>
      <c r="D13" s="12">
        <v>45728</v>
      </c>
      <c r="E13" s="12" t="s">
        <v>88</v>
      </c>
      <c r="F13" s="15">
        <v>0</v>
      </c>
      <c r="G13" s="1" t="s">
        <v>44</v>
      </c>
      <c r="H13" s="1"/>
    </row>
    <row r="14" spans="1:8" x14ac:dyDescent="0.45">
      <c r="A14" t="s">
        <v>111</v>
      </c>
      <c r="B14" t="s">
        <v>112</v>
      </c>
      <c r="C14" t="s">
        <v>137</v>
      </c>
      <c r="D14" s="12">
        <v>45734</v>
      </c>
      <c r="E14" s="12" t="s">
        <v>143</v>
      </c>
      <c r="F14" s="15">
        <v>0</v>
      </c>
      <c r="G14" s="1" t="s">
        <v>44</v>
      </c>
      <c r="H14" s="1"/>
    </row>
    <row r="15" spans="1:8" x14ac:dyDescent="0.45">
      <c r="A15" t="s">
        <v>114</v>
      </c>
      <c r="B15" t="s">
        <v>115</v>
      </c>
      <c r="C15" t="s">
        <v>138</v>
      </c>
      <c r="D15" s="12">
        <v>45736</v>
      </c>
      <c r="E15" s="12" t="s">
        <v>144</v>
      </c>
      <c r="F15" s="15">
        <v>0</v>
      </c>
      <c r="G15" s="1" t="s">
        <v>44</v>
      </c>
      <c r="H15" s="1"/>
    </row>
    <row r="16" spans="1:8" x14ac:dyDescent="0.45">
      <c r="A16" t="s">
        <v>117</v>
      </c>
      <c r="B16" t="s">
        <v>118</v>
      </c>
      <c r="C16" t="s">
        <v>58</v>
      </c>
      <c r="D16" s="12">
        <v>45738</v>
      </c>
      <c r="E16" s="12" t="s">
        <v>145</v>
      </c>
      <c r="F16" s="15">
        <v>0</v>
      </c>
      <c r="G16" s="1" t="s">
        <v>44</v>
      </c>
      <c r="H16" s="1"/>
    </row>
    <row r="17" spans="1:8" x14ac:dyDescent="0.45">
      <c r="A17" t="s">
        <v>120</v>
      </c>
      <c r="B17" t="s">
        <v>121</v>
      </c>
      <c r="C17" t="s">
        <v>139</v>
      </c>
      <c r="D17" s="12">
        <v>45741</v>
      </c>
      <c r="E17" s="12" t="s">
        <v>146</v>
      </c>
      <c r="F17" s="15">
        <v>0</v>
      </c>
      <c r="G17" s="1" t="s">
        <v>126</v>
      </c>
      <c r="H17" s="1"/>
    </row>
    <row r="18" spans="1:8" x14ac:dyDescent="0.45">
      <c r="A18" t="s">
        <v>123</v>
      </c>
      <c r="B18" t="s">
        <v>124</v>
      </c>
      <c r="C18" t="s">
        <v>140</v>
      </c>
      <c r="D18" s="12">
        <v>45744</v>
      </c>
      <c r="E18" s="12" t="s">
        <v>147</v>
      </c>
      <c r="F18" s="15">
        <v>0</v>
      </c>
      <c r="G18" s="1" t="s">
        <v>44</v>
      </c>
      <c r="H18" s="1"/>
    </row>
    <row r="19" spans="1:8" x14ac:dyDescent="0.45">
      <c r="F19" s="15"/>
    </row>
  </sheetData>
  <phoneticPr fontId="2" type="noConversion"/>
  <conditionalFormatting sqref="G2:G8">
    <cfRule type="cellIs" dxfId="35" priority="28" operator="equal">
      <formula>"In Progress"</formula>
    </cfRule>
    <cfRule type="cellIs" dxfId="34" priority="32" stopIfTrue="1" operator="equal">
      <formula>"In Progress"</formula>
    </cfRule>
    <cfRule type="cellIs" dxfId="33" priority="33" stopIfTrue="1" operator="equal">
      <formula>"Completed"</formula>
    </cfRule>
    <cfRule type="cellIs" dxfId="32" priority="34" operator="equal">
      <formula>"Completed"</formula>
    </cfRule>
    <cfRule type="cellIs" priority="35" operator="equal">
      <formula>"Completed"</formula>
    </cfRule>
  </conditionalFormatting>
  <conditionalFormatting sqref="G2:G18">
    <cfRule type="cellIs" dxfId="31" priority="3" operator="equal">
      <formula>"Completed"</formula>
    </cfRule>
    <cfRule type="cellIs" dxfId="30" priority="8" operator="equal">
      <formula>"Completed"</formula>
    </cfRule>
  </conditionalFormatting>
  <conditionalFormatting sqref="G7:G8">
    <cfRule type="cellIs" dxfId="29" priority="30" stopIfTrue="1" operator="equal">
      <formula>"Not Started"</formula>
    </cfRule>
  </conditionalFormatting>
  <conditionalFormatting sqref="G9:G18">
    <cfRule type="cellIs" dxfId="28" priority="4" stopIfTrue="1" operator="equal">
      <formula>"In Progress"</formula>
    </cfRule>
    <cfRule type="cellIs" dxfId="27" priority="5" operator="equal">
      <formula>"Completed"</formula>
    </cfRule>
    <cfRule type="cellIs" dxfId="26" priority="6" operator="equal">
      <formula>"In Progress"</formula>
    </cfRule>
    <cfRule type="cellIs" dxfId="25" priority="7" operator="equal">
      <formula>"Completed"</formula>
    </cfRule>
    <cfRule type="cellIs" priority="9" operator="equal">
      <formula>"Completed"</formula>
    </cfRule>
  </conditionalFormatting>
  <conditionalFormatting sqref="G11:G18">
    <cfRule type="cellIs" dxfId="24" priority="2" operator="equal">
      <formula>"Not Started"</formula>
    </cfRule>
  </conditionalFormatting>
  <conditionalFormatting sqref="G11:H18">
    <cfRule type="cellIs" dxfId="23" priority="1" stopIfTrue="1" operator="equal">
      <formula>"Not Started"</formula>
    </cfRule>
  </conditionalFormatting>
  <conditionalFormatting sqref="H9:H18">
    <cfRule type="cellIs" dxfId="22" priority="20" operator="equal">
      <formula>"Completed"</formula>
    </cfRule>
    <cfRule type="cellIs" dxfId="21" priority="21" operator="equal">
      <formula>"In Progress"</formula>
    </cfRule>
    <cfRule type="cellIs" dxfId="20" priority="22" operator="equal">
      <formula>"Completed"</formula>
    </cfRule>
    <cfRule type="cellIs" dxfId="19" priority="23" stopIfTrue="1" operator="equal">
      <formula>"In Progress"</formula>
    </cfRule>
    <cfRule type="cellIs" dxfId="18" priority="24" stopIfTrue="1" operator="equal">
      <formula>"Completed"</formula>
    </cfRule>
    <cfRule type="cellIs" dxfId="17" priority="25" operator="equal">
      <formula>"Completed"</formula>
    </cfRule>
    <cfRule type="cellIs" priority="26" operator="equal">
      <formula>"Completed"</formula>
    </cfRule>
  </conditionalFormatting>
  <dataValidations count="1">
    <dataValidation type="list" allowBlank="1" showInputMessage="1" showErrorMessage="1" sqref="G2:G18" xr:uid="{0CF805D1-714A-4FBF-A53D-B2AA4ED3A1BC}">
      <formula1>"Completed, Inprogress, Not started"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0BD5-7C5F-418A-8118-5B466273078C}">
  <dimension ref="A1:E17"/>
  <sheetViews>
    <sheetView topLeftCell="L1" workbookViewId="0">
      <selection activeCell="F26" sqref="F26"/>
    </sheetView>
  </sheetViews>
  <sheetFormatPr defaultRowHeight="14.25" x14ac:dyDescent="0.45"/>
  <cols>
    <col min="1" max="1" width="10.3984375" bestFit="1" customWidth="1"/>
    <col min="2" max="2" width="13.46484375" bestFit="1" customWidth="1"/>
    <col min="3" max="3" width="16.06640625" bestFit="1" customWidth="1"/>
    <col min="4" max="4" width="11.1328125" bestFit="1" customWidth="1"/>
    <col min="5" max="5" width="9.46484375" bestFit="1" customWidth="1"/>
  </cols>
  <sheetData>
    <row r="1" spans="1:5" x14ac:dyDescent="0.4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</row>
    <row r="2" spans="1:5" x14ac:dyDescent="0.45">
      <c r="A2" s="1" t="s">
        <v>53</v>
      </c>
      <c r="B2" s="1" t="s">
        <v>54</v>
      </c>
      <c r="C2" s="1" t="s">
        <v>4</v>
      </c>
      <c r="D2" s="1" t="s">
        <v>55</v>
      </c>
      <c r="E2" s="1" t="s">
        <v>56</v>
      </c>
    </row>
    <row r="3" spans="1:5" x14ac:dyDescent="0.45">
      <c r="A3" s="1" t="s">
        <v>57</v>
      </c>
      <c r="B3" s="1" t="s">
        <v>58</v>
      </c>
      <c r="C3" s="1" t="s">
        <v>59</v>
      </c>
      <c r="D3" s="1" t="s">
        <v>60</v>
      </c>
      <c r="E3" s="1" t="s">
        <v>56</v>
      </c>
    </row>
    <row r="4" spans="1:5" x14ac:dyDescent="0.45">
      <c r="A4" s="1" t="s">
        <v>61</v>
      </c>
      <c r="B4" s="1" t="s">
        <v>62</v>
      </c>
      <c r="C4" s="1" t="s">
        <v>63</v>
      </c>
      <c r="D4" s="1" t="s">
        <v>64</v>
      </c>
      <c r="E4" s="1" t="s">
        <v>56</v>
      </c>
    </row>
    <row r="5" spans="1:5" x14ac:dyDescent="0.45">
      <c r="A5" s="1" t="s">
        <v>65</v>
      </c>
      <c r="B5" s="1" t="s">
        <v>66</v>
      </c>
      <c r="C5" s="1" t="s">
        <v>67</v>
      </c>
      <c r="D5" s="1" t="s">
        <v>64</v>
      </c>
      <c r="E5" s="1" t="s">
        <v>56</v>
      </c>
    </row>
    <row r="6" spans="1:5" x14ac:dyDescent="0.45">
      <c r="A6" s="1" t="s">
        <v>68</v>
      </c>
      <c r="B6" s="1" t="s">
        <v>69</v>
      </c>
      <c r="C6" s="1" t="s">
        <v>70</v>
      </c>
      <c r="D6" s="1" t="s">
        <v>42</v>
      </c>
      <c r="E6" s="1" t="s">
        <v>71</v>
      </c>
    </row>
    <row r="8" spans="1:5" x14ac:dyDescent="0.45">
      <c r="A8" s="37" t="s">
        <v>170</v>
      </c>
      <c r="B8" s="38"/>
      <c r="C8" s="38"/>
      <c r="D8" s="38"/>
      <c r="E8" s="38"/>
    </row>
    <row r="10" spans="1:5" x14ac:dyDescent="0.45">
      <c r="A10" s="4" t="s">
        <v>16</v>
      </c>
      <c r="B10" s="4" t="s">
        <v>17</v>
      </c>
      <c r="C10" s="4" t="s">
        <v>90</v>
      </c>
      <c r="D10" s="4" t="s">
        <v>91</v>
      </c>
      <c r="E10" s="4" t="s">
        <v>92</v>
      </c>
    </row>
    <row r="11" spans="1:5" x14ac:dyDescent="0.45">
      <c r="A11" s="1" t="s">
        <v>23</v>
      </c>
      <c r="B11" s="1" t="s">
        <v>24</v>
      </c>
      <c r="C11" s="2">
        <v>2000</v>
      </c>
      <c r="D11" s="2">
        <v>1800</v>
      </c>
      <c r="E11" s="1" t="s">
        <v>93</v>
      </c>
    </row>
    <row r="12" spans="1:5" x14ac:dyDescent="0.45">
      <c r="A12" s="1" t="s">
        <v>28</v>
      </c>
      <c r="B12" s="1" t="s">
        <v>29</v>
      </c>
      <c r="C12" s="2">
        <v>1500</v>
      </c>
      <c r="D12" s="2">
        <v>1500</v>
      </c>
      <c r="E12" s="1" t="s">
        <v>93</v>
      </c>
    </row>
    <row r="13" spans="1:5" x14ac:dyDescent="0.45">
      <c r="A13" s="1" t="s">
        <v>31</v>
      </c>
      <c r="B13" s="1" t="s">
        <v>32</v>
      </c>
      <c r="C13" s="2">
        <v>4000</v>
      </c>
      <c r="D13" s="2">
        <v>4200</v>
      </c>
      <c r="E13" s="1" t="s">
        <v>93</v>
      </c>
    </row>
    <row r="14" spans="1:5" x14ac:dyDescent="0.45">
      <c r="A14" s="1" t="s">
        <v>35</v>
      </c>
      <c r="B14" s="1" t="s">
        <v>36</v>
      </c>
      <c r="C14" s="2">
        <v>6000</v>
      </c>
      <c r="D14" s="2">
        <v>5500</v>
      </c>
      <c r="E14" s="1" t="s">
        <v>94</v>
      </c>
    </row>
    <row r="15" spans="1:5" x14ac:dyDescent="0.45">
      <c r="A15" s="1" t="s">
        <v>38</v>
      </c>
      <c r="B15" s="1" t="s">
        <v>39</v>
      </c>
      <c r="C15" s="2">
        <v>7000</v>
      </c>
      <c r="D15" s="2">
        <v>6800</v>
      </c>
      <c r="E15" s="1" t="s">
        <v>93</v>
      </c>
    </row>
    <row r="16" spans="1:5" x14ac:dyDescent="0.45">
      <c r="A16" s="1" t="s">
        <v>41</v>
      </c>
      <c r="B16" s="1" t="s">
        <v>42</v>
      </c>
      <c r="C16" s="2">
        <v>2500</v>
      </c>
      <c r="D16" s="1">
        <v>0</v>
      </c>
      <c r="E16" s="1" t="s">
        <v>94</v>
      </c>
    </row>
    <row r="17" spans="1:5" x14ac:dyDescent="0.45">
      <c r="A17" s="1" t="s">
        <v>45</v>
      </c>
      <c r="B17" s="1" t="s">
        <v>46</v>
      </c>
      <c r="C17" s="2">
        <v>2000</v>
      </c>
      <c r="D17" s="1">
        <v>0</v>
      </c>
      <c r="E17" s="1" t="s">
        <v>94</v>
      </c>
    </row>
  </sheetData>
  <mergeCells count="1">
    <mergeCell ref="A8:E8"/>
  </mergeCells>
  <conditionalFormatting sqref="E11:E17">
    <cfRule type="cellIs" dxfId="16" priority="1" operator="equal">
      <formula>"Pending"</formula>
    </cfRule>
    <cfRule type="cellIs" dxfId="15" priority="2" stopIfTrue="1" operator="equal">
      <formula>"Pending, Not Paid"</formula>
    </cfRule>
    <cfRule type="cellIs" dxfId="14" priority="3" operator="equal">
      <formula>"Paid"</formula>
    </cfRule>
  </conditionalFormatting>
  <dataValidations count="1">
    <dataValidation type="list" allowBlank="1" showInputMessage="1" showErrorMessage="1" sqref="E11:E18" xr:uid="{5EDC02C4-9EF7-40CF-92D3-73CE4D12FF0E}">
      <formula1>"Paid, Pending"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091E-20B7-4059-AA78-5346EA83E6F2}">
  <dimension ref="A1:H3"/>
  <sheetViews>
    <sheetView workbookViewId="0">
      <selection activeCell="F17" sqref="F17"/>
    </sheetView>
  </sheetViews>
  <sheetFormatPr defaultRowHeight="14.25" x14ac:dyDescent="0.45"/>
  <cols>
    <col min="1" max="1" width="7.46484375" customWidth="1"/>
    <col min="2" max="2" width="19.9296875" bestFit="1" customWidth="1"/>
    <col min="3" max="3" width="45.59765625" bestFit="1" customWidth="1"/>
    <col min="4" max="4" width="12.19921875" customWidth="1"/>
    <col min="5" max="5" width="15.3984375" customWidth="1"/>
    <col min="6" max="6" width="59.59765625" bestFit="1" customWidth="1"/>
  </cols>
  <sheetData>
    <row r="1" spans="1:8" x14ac:dyDescent="0.45">
      <c r="A1" s="4" t="s">
        <v>150</v>
      </c>
      <c r="B1" s="4" t="s">
        <v>151</v>
      </c>
      <c r="C1" s="4" t="s">
        <v>152</v>
      </c>
      <c r="D1" s="4" t="s">
        <v>153</v>
      </c>
      <c r="E1" s="4" t="s">
        <v>154</v>
      </c>
      <c r="F1" s="4" t="s">
        <v>155</v>
      </c>
      <c r="G1" s="4"/>
    </row>
    <row r="2" spans="1:8" x14ac:dyDescent="0.45">
      <c r="A2">
        <v>1</v>
      </c>
      <c r="B2" t="s">
        <v>112</v>
      </c>
      <c r="C2" t="s">
        <v>156</v>
      </c>
      <c r="D2" s="12" t="s">
        <v>162</v>
      </c>
      <c r="E2" s="12" t="s">
        <v>158</v>
      </c>
      <c r="F2" s="15" t="s">
        <v>159</v>
      </c>
      <c r="G2" s="1"/>
      <c r="H2" s="1"/>
    </row>
    <row r="3" spans="1:8" x14ac:dyDescent="0.45">
      <c r="A3">
        <v>2</v>
      </c>
      <c r="B3" t="s">
        <v>115</v>
      </c>
      <c r="C3" t="s">
        <v>160</v>
      </c>
      <c r="D3" s="12" t="s">
        <v>158</v>
      </c>
      <c r="E3" s="12" t="s">
        <v>157</v>
      </c>
      <c r="F3" s="15" t="s">
        <v>161</v>
      </c>
      <c r="G3" s="1"/>
      <c r="H3" s="1"/>
    </row>
  </sheetData>
  <conditionalFormatting sqref="D2:D29">
    <cfRule type="cellIs" dxfId="13" priority="4" operator="equal">
      <formula>"Low"</formula>
    </cfRule>
  </conditionalFormatting>
  <conditionalFormatting sqref="D2:E30">
    <cfRule type="cellIs" dxfId="12" priority="1" operator="equal">
      <formula>"High"</formula>
    </cfRule>
    <cfRule type="cellIs" dxfId="11" priority="2" operator="equal">
      <formula>"Medium"</formula>
    </cfRule>
    <cfRule type="cellIs" dxfId="10" priority="3" operator="equal">
      <formula>"Medium"</formula>
    </cfRule>
  </conditionalFormatting>
  <conditionalFormatting sqref="G2:G3">
    <cfRule type="cellIs" dxfId="9" priority="9" operator="equal">
      <formula>"Completed"</formula>
    </cfRule>
    <cfRule type="cellIs" dxfId="8" priority="10" stopIfTrue="1" operator="equal">
      <formula>"In Progress"</formula>
    </cfRule>
    <cfRule type="cellIs" dxfId="7" priority="11" stopIfTrue="1" operator="equal">
      <formula>"Completed"</formula>
    </cfRule>
    <cfRule type="cellIs" priority="13" operator="equal">
      <formula>"Completed"</formula>
    </cfRule>
  </conditionalFormatting>
  <conditionalFormatting sqref="G2:H3">
    <cfRule type="cellIs" dxfId="6" priority="5" stopIfTrue="1" operator="equal">
      <formula>"Not Started"</formula>
    </cfRule>
    <cfRule type="cellIs" dxfId="5" priority="7" operator="equal">
      <formula>"Completed"</formula>
    </cfRule>
    <cfRule type="cellIs" dxfId="4" priority="8" operator="equal">
      <formula>"In Progress"</formula>
    </cfRule>
    <cfRule type="cellIs" dxfId="3" priority="12" operator="equal">
      <formula>"Completed"</formula>
    </cfRule>
  </conditionalFormatting>
  <conditionalFormatting sqref="H2:H3">
    <cfRule type="cellIs" dxfId="2" priority="19" stopIfTrue="1" operator="equal">
      <formula>"In Progress"</formula>
    </cfRule>
    <cfRule type="cellIs" dxfId="1" priority="20" stopIfTrue="1" operator="equal">
      <formula>"Completed"</formula>
    </cfRule>
    <cfRule type="cellIs" dxfId="0" priority="21" operator="equal">
      <formula>"Completed"</formula>
    </cfRule>
    <cfRule type="cellIs" priority="22" operator="equal">
      <formula>"Completed"</formula>
    </cfRule>
  </conditionalFormatting>
  <dataValidations count="2">
    <dataValidation type="list" allowBlank="1" showInputMessage="1" showErrorMessage="1" sqref="G2:G3" xr:uid="{0B68AAA5-857E-46B2-A97B-117A1393582D}">
      <formula1>"Completed, Inprogress, Not started"</formula1>
    </dataValidation>
    <dataValidation type="list" allowBlank="1" showInputMessage="1" showErrorMessage="1" sqref="D2:E30" xr:uid="{3879579B-8710-473F-B474-B86A3AC95917}">
      <formula1>"Low, Medium, High"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05E7-A6C4-41BC-80DF-E1985F48BC5D}">
  <dimension ref="B1:N40"/>
  <sheetViews>
    <sheetView tabSelected="1" zoomScale="97" zoomScaleNormal="176" workbookViewId="0">
      <selection activeCell="I27" sqref="I27"/>
    </sheetView>
  </sheetViews>
  <sheetFormatPr defaultRowHeight="14.25" x14ac:dyDescent="0.45"/>
  <cols>
    <col min="1" max="1" width="1.73046875" customWidth="1"/>
    <col min="3" max="3" width="23.9296875" bestFit="1" customWidth="1"/>
    <col min="4" max="4" width="23.9296875" customWidth="1"/>
    <col min="5" max="5" width="17.6640625" customWidth="1"/>
    <col min="6" max="6" width="13.06640625" bestFit="1" customWidth="1"/>
    <col min="7" max="7" width="9.6640625" customWidth="1"/>
    <col min="8" max="8" width="13.3984375" customWidth="1"/>
    <col min="10" max="10" width="9.3984375" customWidth="1"/>
    <col min="11" max="11" width="15.6640625" customWidth="1"/>
  </cols>
  <sheetData>
    <row r="1" ht="8.25" customHeight="1" x14ac:dyDescent="0.45"/>
    <row r="23" spans="2:14" x14ac:dyDescent="0.45">
      <c r="B23" s="4" t="s">
        <v>16</v>
      </c>
      <c r="C23" s="4" t="s">
        <v>17</v>
      </c>
      <c r="D23" s="4" t="s">
        <v>171</v>
      </c>
      <c r="E23" s="4" t="s">
        <v>72</v>
      </c>
      <c r="F23" s="4" t="s">
        <v>20</v>
      </c>
      <c r="G23" s="4" t="s">
        <v>21</v>
      </c>
      <c r="H23" s="4" t="s">
        <v>183</v>
      </c>
      <c r="I23" s="4" t="s">
        <v>22</v>
      </c>
      <c r="J23" s="4" t="s">
        <v>184</v>
      </c>
      <c r="K23" s="4" t="s">
        <v>127</v>
      </c>
    </row>
    <row r="24" spans="2:14" x14ac:dyDescent="0.45">
      <c r="B24" s="1" t="s">
        <v>23</v>
      </c>
      <c r="C24" s="1" t="s">
        <v>24</v>
      </c>
      <c r="D24" s="1" t="s">
        <v>172</v>
      </c>
      <c r="E24" s="1" t="s">
        <v>54</v>
      </c>
      <c r="F24" s="11">
        <v>45658</v>
      </c>
      <c r="G24" s="11">
        <v>45664</v>
      </c>
      <c r="H24" s="33">
        <f>Table1[[#This Row],[End Date]]-Table1[[#This Row],[Start Date]]</f>
        <v>6</v>
      </c>
      <c r="I24" s="1" t="s">
        <v>27</v>
      </c>
      <c r="J24" s="1" t="b">
        <f ca="1">AND(Table1[[#This Row],[Status]]&lt;&gt;"COMPLETED",Table1[[#This Row],[End Date]]&lt;TODAY())</f>
        <v>0</v>
      </c>
      <c r="K24" s="1"/>
    </row>
    <row r="25" spans="2:14" x14ac:dyDescent="0.45">
      <c r="B25" s="1" t="s">
        <v>28</v>
      </c>
      <c r="C25" s="1" t="s">
        <v>29</v>
      </c>
      <c r="D25" s="1" t="s">
        <v>173</v>
      </c>
      <c r="E25" s="1" t="s">
        <v>54</v>
      </c>
      <c r="F25" s="11">
        <v>45665</v>
      </c>
      <c r="G25" s="11">
        <v>45669</v>
      </c>
      <c r="H25" s="33">
        <f>Table1[[#This Row],[End Date]]-Table1[[#This Row],[Start Date]]</f>
        <v>4</v>
      </c>
      <c r="I25" s="1" t="s">
        <v>27</v>
      </c>
      <c r="J25" s="1" t="b">
        <f ca="1">AND(Table1[[#This Row],[Status]]&lt;&gt;"COMPLETED",Table1[[#This Row],[End Date]]&lt;TODAY())</f>
        <v>0</v>
      </c>
      <c r="K25" s="1"/>
    </row>
    <row r="26" spans="2:14" x14ac:dyDescent="0.45">
      <c r="B26" s="1" t="s">
        <v>31</v>
      </c>
      <c r="C26" s="1" t="s">
        <v>32</v>
      </c>
      <c r="D26" s="1" t="s">
        <v>60</v>
      </c>
      <c r="E26" s="1" t="s">
        <v>58</v>
      </c>
      <c r="F26" s="11">
        <v>45670</v>
      </c>
      <c r="G26" s="11">
        <v>45682</v>
      </c>
      <c r="H26" s="33">
        <f>Table1[[#This Row],[End Date]]-Table1[[#This Row],[Start Date]]</f>
        <v>12</v>
      </c>
      <c r="I26" s="1" t="s">
        <v>27</v>
      </c>
      <c r="J26" s="1" t="b">
        <f ca="1">AND(Table1[[#This Row],[Status]]&lt;&gt;"COMPLETED",Table1[[#This Row],[End Date]]&lt;TODAY())</f>
        <v>0</v>
      </c>
      <c r="K26" s="1"/>
    </row>
    <row r="27" spans="2:14" x14ac:dyDescent="0.45">
      <c r="B27" s="1" t="s">
        <v>35</v>
      </c>
      <c r="C27" s="1" t="s">
        <v>36</v>
      </c>
      <c r="D27" s="1" t="s">
        <v>36</v>
      </c>
      <c r="E27" s="1" t="s">
        <v>62</v>
      </c>
      <c r="F27" s="11">
        <v>45683</v>
      </c>
      <c r="G27" s="11">
        <v>45703</v>
      </c>
      <c r="H27" s="33">
        <f>Table1[[#This Row],[End Date]]-Table1[[#This Row],[Start Date]]</f>
        <v>20</v>
      </c>
      <c r="I27" s="1" t="s">
        <v>12</v>
      </c>
      <c r="J27" s="1" t="b">
        <f ca="1">AND(Table1[[#This Row],[Status]]&lt;&gt;"COMPLETED",Table1[[#This Row],[End Date]]&lt;TODAY())</f>
        <v>1</v>
      </c>
      <c r="K27" s="1"/>
    </row>
    <row r="28" spans="2:14" x14ac:dyDescent="0.45">
      <c r="B28" s="1" t="s">
        <v>38</v>
      </c>
      <c r="C28" s="1" t="s">
        <v>39</v>
      </c>
      <c r="D28" s="1" t="s">
        <v>39</v>
      </c>
      <c r="E28" s="1" t="s">
        <v>66</v>
      </c>
      <c r="F28" s="11">
        <v>45689</v>
      </c>
      <c r="G28" s="11">
        <v>45716</v>
      </c>
      <c r="H28" s="33">
        <f>Table1[[#This Row],[End Date]]-Table1[[#This Row],[Start Date]]</f>
        <v>27</v>
      </c>
      <c r="I28" s="1" t="s">
        <v>12</v>
      </c>
      <c r="J28" s="1" t="b">
        <f ca="1">AND(Table1[[#This Row],[Status]]&lt;&gt;"COMPLETED",Table1[[#This Row],[End Date]]&lt;TODAY())</f>
        <v>1</v>
      </c>
      <c r="K28" s="1"/>
    </row>
    <row r="29" spans="2:14" x14ac:dyDescent="0.45">
      <c r="B29" s="1" t="s">
        <v>41</v>
      </c>
      <c r="C29" s="1" t="s">
        <v>42</v>
      </c>
      <c r="D29" s="1" t="s">
        <v>174</v>
      </c>
      <c r="E29" s="1" t="s">
        <v>69</v>
      </c>
      <c r="F29" s="11">
        <v>45717</v>
      </c>
      <c r="G29" s="11">
        <v>45731</v>
      </c>
      <c r="H29" s="33">
        <f>Table1[[#This Row],[End Date]]-Table1[[#This Row],[Start Date]]</f>
        <v>14</v>
      </c>
      <c r="I29" s="1" t="s">
        <v>12</v>
      </c>
      <c r="J29" s="1" t="b">
        <f ca="1">AND(Table1[[#This Row],[Status]]&lt;&gt;"COMPLETED",Table1[[#This Row],[End Date]]&lt;TODAY())</f>
        <v>1</v>
      </c>
      <c r="K29" s="1"/>
    </row>
    <row r="30" spans="2:14" x14ac:dyDescent="0.45">
      <c r="B30" s="1" t="s">
        <v>45</v>
      </c>
      <c r="C30" s="1" t="s">
        <v>46</v>
      </c>
      <c r="D30" s="1" t="s">
        <v>175</v>
      </c>
      <c r="E30" s="1" t="s">
        <v>62</v>
      </c>
      <c r="F30" s="11">
        <v>45736</v>
      </c>
      <c r="G30" s="11">
        <v>45741</v>
      </c>
      <c r="H30" s="33">
        <f>Table1[[#This Row],[End Date]]-Table1[[#This Row],[Start Date]]</f>
        <v>5</v>
      </c>
      <c r="I30" s="1" t="s">
        <v>44</v>
      </c>
      <c r="J30" s="1" t="b">
        <f ca="1">AND(Table1[[#This Row],[Status]]&lt;&gt;"COMPLETED",Table1[[#This Row],[End Date]]&lt;TODAY())</f>
        <v>1</v>
      </c>
      <c r="K30" s="1"/>
      <c r="N30" t="s">
        <v>188</v>
      </c>
    </row>
    <row r="31" spans="2:14" x14ac:dyDescent="0.45">
      <c r="B31" t="s">
        <v>96</v>
      </c>
      <c r="C31" t="s">
        <v>97</v>
      </c>
      <c r="D31" s="1" t="s">
        <v>176</v>
      </c>
      <c r="E31" t="s">
        <v>133</v>
      </c>
      <c r="F31" s="12">
        <v>45698</v>
      </c>
      <c r="G31" s="12">
        <v>45721</v>
      </c>
      <c r="H31" s="33">
        <f>Table1[[#This Row],[End Date]]-Table1[[#This Row],[Start Date]]</f>
        <v>23</v>
      </c>
      <c r="I31" s="1" t="s">
        <v>12</v>
      </c>
      <c r="J31" s="1" t="b">
        <f ca="1">AND(Table1[[#This Row],[Status]]&lt;&gt;"COMPLETED",Table1[[#This Row],[End Date]]&lt;TODAY())</f>
        <v>1</v>
      </c>
      <c r="K31" s="1"/>
    </row>
    <row r="32" spans="2:14" x14ac:dyDescent="0.45">
      <c r="B32" t="s">
        <v>99</v>
      </c>
      <c r="C32" t="s">
        <v>100</v>
      </c>
      <c r="D32" s="1" t="s">
        <v>177</v>
      </c>
      <c r="E32" t="s">
        <v>134</v>
      </c>
      <c r="F32" s="12">
        <v>45700</v>
      </c>
      <c r="G32" s="12">
        <v>45716</v>
      </c>
      <c r="H32" s="33">
        <f>Table1[[#This Row],[End Date]]-Table1[[#This Row],[Start Date]]</f>
        <v>16</v>
      </c>
      <c r="I32" s="1" t="s">
        <v>12</v>
      </c>
      <c r="J32" s="1" t="b">
        <f ca="1">AND(Table1[[#This Row],[Status]]&lt;&gt;"COMPLETED",Table1[[#This Row],[End Date]]&lt;TODAY())</f>
        <v>1</v>
      </c>
      <c r="K32" s="1"/>
    </row>
    <row r="33" spans="2:11" x14ac:dyDescent="0.45">
      <c r="B33" t="s">
        <v>102</v>
      </c>
      <c r="C33" t="s">
        <v>103</v>
      </c>
      <c r="D33" s="1" t="s">
        <v>178</v>
      </c>
      <c r="E33" t="s">
        <v>135</v>
      </c>
      <c r="F33" s="12">
        <v>45721</v>
      </c>
      <c r="G33" s="12">
        <v>45728</v>
      </c>
      <c r="H33" s="33">
        <f>Table1[[#This Row],[End Date]]-Table1[[#This Row],[Start Date]]</f>
        <v>7</v>
      </c>
      <c r="I33" s="1" t="s">
        <v>126</v>
      </c>
      <c r="J33" s="1" t="b">
        <f ca="1">AND(Table1[[#This Row],[Status]]&lt;&gt;"COMPLETED",Table1[[#This Row],[End Date]]&lt;TODAY())</f>
        <v>1</v>
      </c>
      <c r="K33" s="1"/>
    </row>
    <row r="34" spans="2:11" x14ac:dyDescent="0.45">
      <c r="B34" t="s">
        <v>105</v>
      </c>
      <c r="C34" t="s">
        <v>106</v>
      </c>
      <c r="D34" s="1" t="s">
        <v>179</v>
      </c>
      <c r="E34" t="s">
        <v>136</v>
      </c>
      <c r="F34" s="12">
        <v>45726</v>
      </c>
      <c r="G34" s="12">
        <v>45734</v>
      </c>
      <c r="H34" s="33">
        <f>Table1[[#This Row],[End Date]]-Table1[[#This Row],[Start Date]]</f>
        <v>8</v>
      </c>
      <c r="I34" s="1" t="s">
        <v>44</v>
      </c>
      <c r="J34" s="1" t="b">
        <f ca="1">AND(Table1[[#This Row],[Status]]&lt;&gt;"COMPLETED",Table1[[#This Row],[End Date]]&lt;TODAY())</f>
        <v>1</v>
      </c>
      <c r="K34" s="1"/>
    </row>
    <row r="35" spans="2:11" x14ac:dyDescent="0.45">
      <c r="B35" t="s">
        <v>108</v>
      </c>
      <c r="C35" t="s">
        <v>109</v>
      </c>
      <c r="D35" s="1" t="s">
        <v>174</v>
      </c>
      <c r="E35" t="s">
        <v>136</v>
      </c>
      <c r="F35" s="12">
        <v>45728</v>
      </c>
      <c r="G35" s="12">
        <v>45736</v>
      </c>
      <c r="H35" s="33">
        <f>Table1[[#This Row],[End Date]]-Table1[[#This Row],[Start Date]]</f>
        <v>8</v>
      </c>
      <c r="I35" s="1" t="s">
        <v>44</v>
      </c>
      <c r="J35" s="1" t="b">
        <f ca="1">AND(Table1[[#This Row],[Status]]&lt;&gt;"COMPLETED",Table1[[#This Row],[End Date]]&lt;TODAY())</f>
        <v>1</v>
      </c>
      <c r="K35" s="1"/>
    </row>
    <row r="36" spans="2:11" x14ac:dyDescent="0.45">
      <c r="B36" t="s">
        <v>111</v>
      </c>
      <c r="C36" t="s">
        <v>112</v>
      </c>
      <c r="D36" s="1" t="s">
        <v>180</v>
      </c>
      <c r="E36" t="s">
        <v>137</v>
      </c>
      <c r="F36" s="12">
        <v>45734</v>
      </c>
      <c r="G36" s="12">
        <v>45738</v>
      </c>
      <c r="H36" s="33">
        <f>Table1[[#This Row],[End Date]]-Table1[[#This Row],[Start Date]]</f>
        <v>4</v>
      </c>
      <c r="I36" s="1" t="s">
        <v>44</v>
      </c>
      <c r="J36" s="1" t="b">
        <f ca="1">AND(Table1[[#This Row],[Status]]&lt;&gt;"COMPLETED",Table1[[#This Row],[End Date]]&lt;TODAY())</f>
        <v>1</v>
      </c>
      <c r="K36" s="1"/>
    </row>
    <row r="37" spans="2:11" x14ac:dyDescent="0.45">
      <c r="B37" t="s">
        <v>114</v>
      </c>
      <c r="C37" t="s">
        <v>115</v>
      </c>
      <c r="D37" s="1" t="s">
        <v>179</v>
      </c>
      <c r="E37" t="s">
        <v>138</v>
      </c>
      <c r="F37" s="12">
        <v>45736</v>
      </c>
      <c r="G37" s="12">
        <v>45743</v>
      </c>
      <c r="H37" s="33">
        <f>Table1[[#This Row],[End Date]]-Table1[[#This Row],[Start Date]]</f>
        <v>7</v>
      </c>
      <c r="I37" s="1" t="s">
        <v>44</v>
      </c>
      <c r="J37" s="1" t="b">
        <f ca="1">AND(Table1[[#This Row],[Status]]&lt;&gt;"COMPLETED",Table1[[#This Row],[End Date]]&lt;TODAY())</f>
        <v>1</v>
      </c>
      <c r="K37" s="1"/>
    </row>
    <row r="38" spans="2:11" x14ac:dyDescent="0.45">
      <c r="B38" t="s">
        <v>117</v>
      </c>
      <c r="C38" t="s">
        <v>118</v>
      </c>
      <c r="D38" s="1" t="s">
        <v>181</v>
      </c>
      <c r="E38" t="s">
        <v>58</v>
      </c>
      <c r="F38" s="12">
        <v>45738</v>
      </c>
      <c r="G38" s="12">
        <v>45744</v>
      </c>
      <c r="H38" s="33">
        <f>Table1[[#This Row],[End Date]]-Table1[[#This Row],[Start Date]]</f>
        <v>6</v>
      </c>
      <c r="I38" s="1" t="s">
        <v>44</v>
      </c>
      <c r="J38" s="1" t="b">
        <f ca="1">AND(Table1[[#This Row],[Status]]&lt;&gt;"COMPLETED",Table1[[#This Row],[End Date]]&lt;TODAY())</f>
        <v>1</v>
      </c>
      <c r="K38" s="1"/>
    </row>
    <row r="39" spans="2:11" x14ac:dyDescent="0.45">
      <c r="B39" t="s">
        <v>120</v>
      </c>
      <c r="C39" t="s">
        <v>121</v>
      </c>
      <c r="D39" s="1" t="s">
        <v>175</v>
      </c>
      <c r="E39" t="s">
        <v>139</v>
      </c>
      <c r="F39" s="12">
        <v>45741</v>
      </c>
      <c r="G39" s="12">
        <v>45744</v>
      </c>
      <c r="H39" s="33">
        <f>Table1[[#This Row],[End Date]]-Table1[[#This Row],[Start Date]]</f>
        <v>3</v>
      </c>
      <c r="I39" s="1" t="s">
        <v>44</v>
      </c>
      <c r="J39" s="1" t="b">
        <f ca="1">AND(Table1[[#This Row],[Status]]&lt;&gt;"COMPLETED",Table1[[#This Row],[End Date]]&lt;TODAY())</f>
        <v>1</v>
      </c>
      <c r="K39" s="1"/>
    </row>
    <row r="40" spans="2:11" x14ac:dyDescent="0.45">
      <c r="B40" t="s">
        <v>123</v>
      </c>
      <c r="C40" t="s">
        <v>124</v>
      </c>
      <c r="D40" s="1" t="s">
        <v>182</v>
      </c>
      <c r="E40" t="s">
        <v>140</v>
      </c>
      <c r="F40" s="12">
        <v>45744</v>
      </c>
      <c r="G40" s="12">
        <v>45747</v>
      </c>
      <c r="H40" s="33">
        <f>Table1[[#This Row],[End Date]]-Table1[[#This Row],[Start Date]]</f>
        <v>3</v>
      </c>
      <c r="I40" s="1" t="s">
        <v>44</v>
      </c>
      <c r="J40" s="1" t="b">
        <f ca="1">AND(Table1[[#This Row],[Status]]&lt;&gt;"COMPLETED",Table1[[#This Row],[End Date]]&lt;TODAY())</f>
        <v>1</v>
      </c>
      <c r="K40" s="1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5942AE-307E-4635-B78E-A1042F971614}">
          <x14:formula1>
            <xm:f>'Support Sheet'!$A$3:$A$15</xm:f>
          </x14:formula1>
          <xm:sqref>E24:E40</xm:sqref>
        </x14:dataValidation>
        <x14:dataValidation type="list" allowBlank="1" showInputMessage="1" showErrorMessage="1" xr:uid="{D1F1A415-7B24-402B-BDDD-8ECDD5D70D4F}">
          <x14:formula1>
            <xm:f>'Support Sheet'!$D$3:$D$16</xm:f>
          </x14:formula1>
          <xm:sqref>D24:D40</xm:sqref>
        </x14:dataValidation>
        <x14:dataValidation type="list" allowBlank="1" showInputMessage="1" showErrorMessage="1" xr:uid="{FEF6C4E1-4765-474E-9EEB-F9EC1AD789CC}">
          <x14:formula1>
            <xm:f>'Support Sheet'!$G$2:$G$4</xm:f>
          </x14:formula1>
          <xm:sqref>I24:I40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37A6-DA46-4881-97C8-709F29A4BD34}">
  <dimension ref="A1:H16"/>
  <sheetViews>
    <sheetView zoomScale="71" workbookViewId="0">
      <selection activeCell="H9" sqref="H9"/>
    </sheetView>
  </sheetViews>
  <sheetFormatPr defaultRowHeight="14.25" x14ac:dyDescent="0.45"/>
  <cols>
    <col min="1" max="1" width="10.86328125" bestFit="1" customWidth="1"/>
    <col min="2" max="2" width="9.86328125" customWidth="1"/>
    <col min="4" max="4" width="18.6640625" bestFit="1" customWidth="1"/>
    <col min="5" max="5" width="9.86328125" customWidth="1"/>
    <col min="7" max="8" width="9.86328125" customWidth="1"/>
  </cols>
  <sheetData>
    <row r="1" spans="1:8" x14ac:dyDescent="0.45">
      <c r="A1" t="s">
        <v>187</v>
      </c>
      <c r="B1" t="s">
        <v>186</v>
      </c>
      <c r="D1" t="s">
        <v>171</v>
      </c>
      <c r="E1" t="s">
        <v>186</v>
      </c>
      <c r="G1" t="s">
        <v>168</v>
      </c>
      <c r="H1" t="s">
        <v>186</v>
      </c>
    </row>
    <row r="2" spans="1:8" x14ac:dyDescent="0.45">
      <c r="G2" t="s">
        <v>27</v>
      </c>
      <c r="H2">
        <f>COUNTIF(Table1[Status],'Support Sheet'!G2)</f>
        <v>3</v>
      </c>
    </row>
    <row r="3" spans="1:8" x14ac:dyDescent="0.45">
      <c r="A3" t="s">
        <v>54</v>
      </c>
      <c r="B3">
        <f>COUNTIF(Table1[Assigned Resource],'Support Sheet'!A3)</f>
        <v>2</v>
      </c>
      <c r="D3" t="s">
        <v>172</v>
      </c>
      <c r="E3">
        <f>COUNTIF(Table1[Team],Table3[[#This Row],[Team]])</f>
        <v>1</v>
      </c>
      <c r="G3" t="s">
        <v>12</v>
      </c>
      <c r="H3">
        <f>COUNTIF(Table1[Status],'Support Sheet'!G3)</f>
        <v>5</v>
      </c>
    </row>
    <row r="4" spans="1:8" x14ac:dyDescent="0.45">
      <c r="A4" t="s">
        <v>58</v>
      </c>
      <c r="B4">
        <f>COUNTIF(Table1[Assigned Resource],'Support Sheet'!A4)</f>
        <v>2</v>
      </c>
      <c r="D4" t="s">
        <v>173</v>
      </c>
      <c r="E4">
        <f>COUNTIF(Table1[Team],Table3[[#This Row],[Team]])</f>
        <v>1</v>
      </c>
      <c r="G4" t="s">
        <v>44</v>
      </c>
      <c r="H4">
        <f>COUNTIF(Table1[Status],'Support Sheet'!G4)</f>
        <v>9</v>
      </c>
    </row>
    <row r="5" spans="1:8" x14ac:dyDescent="0.45">
      <c r="A5" t="s">
        <v>62</v>
      </c>
      <c r="B5">
        <f>COUNTIF(Table1[Assigned Resource],'Support Sheet'!A5)</f>
        <v>2</v>
      </c>
      <c r="D5" t="s">
        <v>60</v>
      </c>
      <c r="E5">
        <f>COUNTIF(Table1[Team],Table3[[#This Row],[Team]])</f>
        <v>1</v>
      </c>
      <c r="G5" t="s">
        <v>185</v>
      </c>
      <c r="H5">
        <f>SUM(H2:H4)</f>
        <v>17</v>
      </c>
    </row>
    <row r="6" spans="1:8" x14ac:dyDescent="0.45">
      <c r="A6" t="s">
        <v>66</v>
      </c>
      <c r="B6">
        <f>COUNTIF(Table1[Assigned Resource],'Support Sheet'!A6)</f>
        <v>1</v>
      </c>
      <c r="D6" t="s">
        <v>36</v>
      </c>
      <c r="E6">
        <f>COUNTIF(Table1[Team],Table3[[#This Row],[Team]])</f>
        <v>1</v>
      </c>
    </row>
    <row r="7" spans="1:8" x14ac:dyDescent="0.45">
      <c r="A7" t="s">
        <v>69</v>
      </c>
      <c r="B7">
        <f>COUNTIF(Table1[Assigned Resource],'Support Sheet'!A7)</f>
        <v>1</v>
      </c>
      <c r="D7" t="s">
        <v>39</v>
      </c>
      <c r="E7">
        <f>COUNTIF(Table1[Team],Table3[[#This Row],[Team]])</f>
        <v>1</v>
      </c>
      <c r="G7" s="3" t="s">
        <v>186</v>
      </c>
      <c r="H7" s="3" t="s">
        <v>184</v>
      </c>
    </row>
    <row r="8" spans="1:8" x14ac:dyDescent="0.45">
      <c r="A8" t="s">
        <v>133</v>
      </c>
      <c r="B8">
        <f>COUNTIF(Table1[Assigned Resource],'Support Sheet'!A8)</f>
        <v>1</v>
      </c>
      <c r="D8" t="s">
        <v>174</v>
      </c>
      <c r="E8">
        <f>COUNTIF(Table1[Team],Table3[[#This Row],[Team]])</f>
        <v>2</v>
      </c>
    </row>
    <row r="9" spans="1:8" x14ac:dyDescent="0.45">
      <c r="A9" t="s">
        <v>134</v>
      </c>
      <c r="B9">
        <f>COUNTIF(Table1[Assigned Resource],'Support Sheet'!A9)</f>
        <v>1</v>
      </c>
      <c r="D9" t="s">
        <v>175</v>
      </c>
      <c r="E9">
        <f>COUNTIF(Table1[Team],Table3[[#This Row],[Team]])</f>
        <v>2</v>
      </c>
      <c r="G9" t="s">
        <v>186</v>
      </c>
      <c r="H9">
        <f ca="1">COUNTIF(Table1[Overdue],TRUE)</f>
        <v>14</v>
      </c>
    </row>
    <row r="10" spans="1:8" x14ac:dyDescent="0.45">
      <c r="A10" t="s">
        <v>135</v>
      </c>
      <c r="B10">
        <f>COUNTIF(Table1[Assigned Resource],'Support Sheet'!A10)</f>
        <v>1</v>
      </c>
      <c r="D10" t="s">
        <v>176</v>
      </c>
      <c r="E10">
        <f>COUNTIF(Table1[Team],Table3[[#This Row],[Team]])</f>
        <v>1</v>
      </c>
    </row>
    <row r="11" spans="1:8" x14ac:dyDescent="0.45">
      <c r="A11" t="s">
        <v>136</v>
      </c>
      <c r="B11">
        <f>COUNTIF(Table1[Assigned Resource],'Support Sheet'!A11)</f>
        <v>2</v>
      </c>
      <c r="D11" t="s">
        <v>177</v>
      </c>
      <c r="E11">
        <f>COUNTIF(Table1[Team],Table3[[#This Row],[Team]])</f>
        <v>1</v>
      </c>
    </row>
    <row r="12" spans="1:8" x14ac:dyDescent="0.45">
      <c r="A12" t="s">
        <v>137</v>
      </c>
      <c r="B12">
        <f>COUNTIF(Table1[Assigned Resource],'Support Sheet'!A12)</f>
        <v>1</v>
      </c>
      <c r="D12" t="s">
        <v>178</v>
      </c>
      <c r="E12">
        <f>COUNTIF(Table1[Team],Table3[[#This Row],[Team]])</f>
        <v>1</v>
      </c>
    </row>
    <row r="13" spans="1:8" x14ac:dyDescent="0.45">
      <c r="A13" t="s">
        <v>138</v>
      </c>
      <c r="B13">
        <f>COUNTIF(Table1[Assigned Resource],'Support Sheet'!A13)</f>
        <v>1</v>
      </c>
      <c r="D13" t="s">
        <v>179</v>
      </c>
      <c r="E13">
        <f>COUNTIF(Table1[Team],Table3[[#This Row],[Team]])</f>
        <v>2</v>
      </c>
    </row>
    <row r="14" spans="1:8" x14ac:dyDescent="0.45">
      <c r="A14" t="s">
        <v>139</v>
      </c>
      <c r="B14">
        <f>COUNTIF(Table1[Assigned Resource],'Support Sheet'!A14)</f>
        <v>1</v>
      </c>
      <c r="D14" t="s">
        <v>180</v>
      </c>
      <c r="E14">
        <f>COUNTIF(Table1[Team],Table3[[#This Row],[Team]])</f>
        <v>1</v>
      </c>
    </row>
    <row r="15" spans="1:8" x14ac:dyDescent="0.45">
      <c r="A15" t="s">
        <v>140</v>
      </c>
      <c r="B15">
        <f>COUNTIF(Table1[Assigned Resource],'Support Sheet'!A15)</f>
        <v>1</v>
      </c>
      <c r="D15" t="s">
        <v>181</v>
      </c>
      <c r="E15">
        <f>COUNTIF(Table1[Team],Table3[[#This Row],[Team]])</f>
        <v>1</v>
      </c>
    </row>
    <row r="16" spans="1:8" x14ac:dyDescent="0.45">
      <c r="D16" t="s">
        <v>182</v>
      </c>
      <c r="E16">
        <f>COUNTIF(Table1[Team],Table3[[#This Row],[Team]])</f>
        <v>1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overview</vt:lpstr>
      <vt:lpstr>Task List &amp; Gantt Chart</vt:lpstr>
      <vt:lpstr>Task Assignment &amp; Progress Trac</vt:lpstr>
      <vt:lpstr>Resource List</vt:lpstr>
      <vt:lpstr>Risks</vt:lpstr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Nikam</dc:creator>
  <cp:lastModifiedBy>Devika Nikam</cp:lastModifiedBy>
  <dcterms:created xsi:type="dcterms:W3CDTF">2025-12-21T11:28:45Z</dcterms:created>
  <dcterms:modified xsi:type="dcterms:W3CDTF">2025-12-30T23:11:36Z</dcterms:modified>
</cp:coreProperties>
</file>